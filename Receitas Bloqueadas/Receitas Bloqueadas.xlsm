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Bloqueadas\"/>
    </mc:Choice>
  </mc:AlternateContent>
  <xr:revisionPtr revIDLastSave="0" documentId="13_ncr:1_{D305D1A1-8A8A-48F3-BBDF-6CFA2151EB50}" xr6:coauthVersionLast="47" xr6:coauthVersionMax="47" xr10:uidLastSave="{00000000-0000-0000-0000-000000000000}"/>
  <bookViews>
    <workbookView xWindow="2730" yWindow="2730" windowWidth="21600" windowHeight="11385" activeTab="1" xr2:uid="{B6C72E25-A37E-45BA-9786-5BBB75557374}"/>
  </bookViews>
  <sheets>
    <sheet name="Config" sheetId="4" r:id="rId1"/>
    <sheet name="ReceitasBloqueadas" sheetId="3" r:id="rId2"/>
    <sheet name="OBsReceitasBloqueadas" sheetId="2" r:id="rId3"/>
  </sheets>
  <definedNames>
    <definedName name="DadosExternos_1" localSheetId="2" hidden="1">OBsReceitasBloqueadas!$A$1:$V$8</definedName>
    <definedName name="DadosExternos_2" localSheetId="1" hidden="1">'ReceitasBloqueadas'!$A$2:$E$9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9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AE9ECA-E87B-4541-AB7C-4E94E245B6B1}" keepAlive="1" name="Consulta - OBsReceitasBloqueadas" description="Conexão com a consulta 'OBsReceitasBloqueadas' na pasta de trabalho." type="5" refreshedVersion="7" saveData="1">
    <dbPr connection="Provider=Microsoft.Mashup.OleDb.1;Data Source=$Workbook$;Location=OBsReceitasBloqueadas;Extended Properties=&quot;&quot;" command="SELECT * FROM [OBsReceitasBloqueadas]"/>
  </connection>
  <connection id="2" xr16:uid="{686389C1-67D9-470A-9E6A-C294E47FD6C6}" keepAlive="1" name="Consulta - ReceitasBloqueadas" description="Conexão com a consulta 'ReceitasBloqueadas' na pasta de trabalho." type="5" refreshedVersion="7" saveData="1">
    <dbPr connection="Provider=Microsoft.Mashup.OleDb.1;Data Source=$Workbook$;Location=ReceitasBloqueadas;Extended Properties=&quot;&quot;" command="SELECT * FROM [ReceitasBloqueadas]"/>
  </connection>
</connections>
</file>

<file path=xl/sharedStrings.xml><?xml version="1.0" encoding="utf-8"?>
<sst xmlns="http://schemas.openxmlformats.org/spreadsheetml/2006/main" count="97" uniqueCount="58">
  <si>
    <t>Total</t>
  </si>
  <si>
    <t>Grupo</t>
  </si>
  <si>
    <t>Nº OB</t>
  </si>
  <si>
    <t>Data Última Prod.</t>
  </si>
  <si>
    <t>Data Bloqueio</t>
  </si>
  <si>
    <t>Início do Ting.</t>
  </si>
  <si>
    <t>Final do Ting.</t>
  </si>
  <si>
    <t>Gráfico</t>
  </si>
  <si>
    <t>Cód. Classificação</t>
  </si>
  <si>
    <t>Classificação Cor</t>
  </si>
  <si>
    <t>Reduzido Receita</t>
  </si>
  <si>
    <t>Usuário Bloqueio</t>
  </si>
  <si>
    <t>Data Alteração</t>
  </si>
  <si>
    <t>Usuário Alterou</t>
  </si>
  <si>
    <t>Nome Usuário Alterou</t>
  </si>
  <si>
    <t>RECEITAS BLOQUEADAS</t>
  </si>
  <si>
    <t>Máq. Ting.</t>
  </si>
  <si>
    <t>Para</t>
  </si>
  <si>
    <t>Cópia</t>
  </si>
  <si>
    <t>janilson.pacheco@costaricamalhas.ind.br</t>
  </si>
  <si>
    <t>alexandre.faria@costaricamalhas.ind.br; acacio.klann@costaricamalhas.ind.br</t>
  </si>
  <si>
    <t>Previsão de Liberar</t>
  </si>
  <si>
    <t>Cor OB</t>
  </si>
  <si>
    <t>Cor Rec.</t>
  </si>
  <si>
    <t>EP OB</t>
  </si>
  <si>
    <t>EP Rec.</t>
  </si>
  <si>
    <t>PE OB</t>
  </si>
  <si>
    <t>PE Rec</t>
  </si>
  <si>
    <t>Status PE</t>
  </si>
  <si>
    <t>OK</t>
  </si>
  <si>
    <t xml:space="preserve">JANILSON DE FREITAS PACHECO   </t>
  </si>
  <si>
    <t>JANILSON DE FREITAS PACHECO</t>
  </si>
  <si>
    <t>ESCURA</t>
  </si>
  <si>
    <t>00020</t>
  </si>
  <si>
    <t>MQ08</t>
  </si>
  <si>
    <t>ESCURO 2 FIBRAS</t>
  </si>
  <si>
    <t xml:space="preserve">ELISA MENDES                  </t>
  </si>
  <si>
    <t>TATIANA MAIARA DE ARAUJO</t>
  </si>
  <si>
    <t>MEDIA</t>
  </si>
  <si>
    <t>MQ06</t>
  </si>
  <si>
    <t>00021</t>
  </si>
  <si>
    <t>00072</t>
  </si>
  <si>
    <t>G 5054</t>
  </si>
  <si>
    <t>G 5330</t>
  </si>
  <si>
    <t xml:space="preserve">TATIANA MAIARA DE ARAUJO      </t>
  </si>
  <si>
    <t>G 5133</t>
  </si>
  <si>
    <t>MQ04</t>
  </si>
  <si>
    <t>00055</t>
  </si>
  <si>
    <t>00067</t>
  </si>
  <si>
    <t>00073</t>
  </si>
  <si>
    <t>G 5026</t>
  </si>
  <si>
    <t>G 5616</t>
  </si>
  <si>
    <t>G 5033</t>
  </si>
  <si>
    <t>MQ05</t>
  </si>
  <si>
    <t>00051</t>
  </si>
  <si>
    <t>MQ07</t>
  </si>
  <si>
    <t>G 5090</t>
  </si>
  <si>
    <t>PRETO 2 FIBRAS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</si>
</sst>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"/>
    <numFmt numFmtId="165" formatCode="m/d/yyyy\ h:mm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2" fillId="0" borderId="1" applyNumberFormat="0" applyFill="0" applyAlignment="0" applyProtection="0"/>
  </cellStyleXfs>
  <cellXfs count="10">
    <xf numFmtId="0" fontId="0" fillId="0" borderId="0" xfId="0"/>
    <xf numFmtId="0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2" xfId="0" applyFont="1" applyBorder="1"/>
    <xf numFmtId="0" fontId="0" fillId="0" borderId="3" xfId="0" applyFont="1" applyBorder="1"/>
    <xf numFmtId="14" fontId="0" fillId="0" borderId="0" xfId="0" applyNumberFormat="1" applyAlignment="1">
      <alignment horizontal="center"/>
    </xf>
    <xf numFmtId="0" fontId="2" fillId="2" borderId="0" xfId="1" applyFill="1" applyBorder="1" applyAlignment="1">
      <alignment horizontal="center"/>
    </xf>
  </cellXfs>
  <cellStyles count="2">
    <cellStyle name="Normal" xfId="0" builtinId="0"/>
    <cellStyle name="Título 2" xfId="1" builtinId="17"/>
  </cellStyles>
  <dxfs count="20">
    <dxf>
      <numFmt numFmtId="0" formatCode="General"/>
    </dxf>
    <dxf>
      <numFmt numFmtId="0" formatCode="General"/>
    </dxf>
    <dxf>
      <numFmt numFmtId="164" formatCode="m/d/yyyy"/>
    </dxf>
    <dxf>
      <numFmt numFmtId="165" formatCode="m/d/yyyy\ h:mm"/>
    </dxf>
    <dxf>
      <numFmt numFmtId="0" formatCode="General"/>
    </dxf>
    <dxf>
      <numFmt numFmtId="0" formatCode="General"/>
    </dxf>
    <dxf>
      <numFmt numFmtId="164" formatCode="m/d/yyyy"/>
    </dxf>
    <dxf>
      <numFmt numFmtId="0" formatCode="General"/>
    </dxf>
    <dxf>
      <numFmt numFmtId="165" formatCode="m/d/yyyy\ h:mm"/>
    </dxf>
    <dxf>
      <alignment horizontal="center" vertical="bottom" textRotation="0" wrapText="0" indent="0" justifyLastLine="0" shrinkToFit="0" readingOrder="0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" xr16:uid="{E107FB9A-61F6-4F36-AE75-786B1424CF20}" autoFormatId="16" applyNumberFormats="0" applyBorderFormats="0" applyFontFormats="0" applyPatternFormats="0" applyAlignmentFormats="0" applyWidthHeightFormats="0">
  <queryTableRefresh nextId="15" unboundColumnsRight="1">
    <queryTableFields count="6">
      <queryTableField id="9" name="Cor Rec." tableColumnId="1"/>
      <queryTableField id="10" name="EP Rec." tableColumnId="2"/>
      <queryTableField id="11" name="PE Rec" tableColumnId="5"/>
      <queryTableField id="3" name="Data Última Prod." tableColumnId="3"/>
      <queryTableField id="4" name="Data Bloqueio" tableColumnId="4"/>
      <queryTableField id="8" dataBound="0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FB627CF8-7DD6-4838-AD92-EC283837261E}" autoFormatId="16" applyNumberFormats="0" applyBorderFormats="0" applyFontFormats="0" applyPatternFormats="0" applyAlignmentFormats="0" applyWidthHeightFormats="0">
  <queryTableRefresh nextId="55">
    <queryTableFields count="22">
      <queryTableField id="1" name="GRUPO" tableColumnId="1"/>
      <queryTableField id="20" name="Nº OB" tableColumnId="2"/>
      <queryTableField id="35" name="Cor OB" tableColumnId="3"/>
      <queryTableField id="36" name="Cor Rec." tableColumnId="4"/>
      <queryTableField id="37" name="EP OB" tableColumnId="5"/>
      <queryTableField id="38" name="EP Rec." tableColumnId="19"/>
      <queryTableField id="39" name="PE OB" tableColumnId="20"/>
      <queryTableField id="40" name="PE Rec" tableColumnId="21"/>
      <queryTableField id="21" name="Máq. TIng." tableColumnId="6"/>
      <queryTableField id="24" name="Início do Ting." tableColumnId="9"/>
      <queryTableField id="25" name="Final do Ting." tableColumnId="10"/>
      <queryTableField id="26" name="Gráfico" tableColumnId="11"/>
      <queryTableField id="22" name="Data Última Prod." tableColumnId="7"/>
      <queryTableField id="27" name="Cód. Classificação" tableColumnId="12"/>
      <queryTableField id="28" name="Classificação Cor" tableColumnId="13"/>
      <queryTableField id="29" name="Reduzido Receita" tableColumnId="14"/>
      <queryTableField id="30" name="Usuário Bloqueio" tableColumnId="15"/>
      <queryTableField id="23" name="Data Bloqueio" tableColumnId="8"/>
      <queryTableField id="31" name="Data Alteração" tableColumnId="16"/>
      <queryTableField id="32" name="Usuário Alterou" tableColumnId="17"/>
      <queryTableField id="33" name="Nome Usuário Alterou" tableColumnId="18"/>
      <queryTableField id="41" name="Status PE" tableColumnId="2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D8A0DBA-2608-4F2A-9830-8EA8658D712F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1E51F33-8F4F-4875-8DDC-92351E955970}" name="Para" dataDxfId="19"/>
    <tableColumn id="2" xr3:uid="{957AFF98-01D2-45DE-84A5-99DD4F909E72}" name="Cópia" dataDxfId="1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4BFCE2-6433-4C6D-B6BA-27A778AC0EBA}" name="ReceitasBloqueadas" displayName="ReceitasBloqueadas" ref="A2:F9" tableType="queryTable" totalsRowShown="0">
  <autoFilter ref="A2:F9" xr:uid="{9D4BFCE2-6433-4C6D-B6BA-27A778AC0EB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9DC51FC-646C-4D73-A0B0-146FD7BD2761}" uniqueName="1" name="Cor Rec." queryTableFieldId="9" dataDxfId="17"/>
    <tableColumn id="2" xr3:uid="{D2F166AB-10DA-4A25-926D-97E3562B645C}" uniqueName="2" name="EP Rec." queryTableFieldId="10"/>
    <tableColumn id="5" xr3:uid="{7E0AA0E0-8893-4847-AA27-4CC99F7C621B}" uniqueName="5" name="PE Rec" queryTableFieldId="11"/>
    <tableColumn id="3" xr3:uid="{D0EE0E09-69F2-4998-9972-5242E9A2D89D}" uniqueName="3" name="Data Última Prod." queryTableFieldId="3" dataDxfId="16"/>
    <tableColumn id="4" xr3:uid="{FEDCB53C-D0E3-4212-A3C3-5F7D2B9792C1}" uniqueName="4" name="Data Bloqueio" queryTableFieldId="4" dataDxfId="15"/>
    <tableColumn id="6" xr3:uid="{B5AAA960-2528-4E97-A766-714B633D6392}" uniqueName="6" name="Previsão de Liberar" queryTableFieldId="8" dataDxfId="14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905E7-FDBA-44E4-883F-CF31EA30F1F2}" name="OBsReceitasBloqueadas" displayName="OBsReceitasBloqueadas" ref="A1:V9" tableType="queryTable" totalsRowCount="1">
  <autoFilter ref="A1:V8" xr:uid="{4CC905E7-FDBA-44E4-883F-CF31EA30F1F2}">
    <filterColumn colId="0" hiddenButton="1"/>
    <filterColumn colId="1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2">
    <tableColumn id="1" xr3:uid="{D4F783DA-B14D-4E11-B1E0-888AE55F4D02}" uniqueName="1" name="Grupo" totalsRowLabel="Total" queryTableFieldId="1"/>
    <tableColumn id="2" xr3:uid="{25AD5805-39C2-4800-ADFC-1475CF2246CD}" uniqueName="2" name="Nº OB" queryTableFieldId="20"/>
    <tableColumn id="3" xr3:uid="{C5FE528F-7E38-4F12-BE5B-CB85082F7638}" uniqueName="3" name="Cor OB" queryTableFieldId="35" dataDxfId="13"/>
    <tableColumn id="4" xr3:uid="{F092E758-35C6-46D4-97A1-4B22BE0345BE}" uniqueName="4" name="Cor Rec." queryTableFieldId="36" dataDxfId="12"/>
    <tableColumn id="5" xr3:uid="{0E64172C-278B-4FCF-88A9-2DCB096EBCAA}" uniqueName="5" name="EP OB" queryTableFieldId="37"/>
    <tableColumn id="19" xr3:uid="{C9E06889-D103-4C50-950D-7DBA7C84E711}" uniqueName="19" name="EP Rec." queryTableFieldId="38"/>
    <tableColumn id="20" xr3:uid="{773E176A-B9E4-447B-B2C4-BC8F2A3F533D}" uniqueName="20" name="PE OB" queryTableFieldId="39"/>
    <tableColumn id="21" xr3:uid="{D3879E21-B3C4-4BE2-AD51-BF4495620BE7}" uniqueName="21" name="PE Rec" queryTableFieldId="40"/>
    <tableColumn id="6" xr3:uid="{6EAC79F6-E05E-40F5-ABBD-72120C05075C}" uniqueName="6" name="Máq. Ting." queryTableFieldId="21" dataDxfId="11"/>
    <tableColumn id="9" xr3:uid="{280D4197-CED8-4459-97BE-AA856B4F9747}" uniqueName="9" name="Início do Ting." totalsRowFunction="custom" queryTableFieldId="24" dataDxfId="10" totalsRowDxfId="9">
      <totalsRowFormula>_xlfn.CONCAT(COUNTA(_xlfn.UNIQUE(OBsReceitasBloqueadas[Início do Ting.])), " RECEITAS")</totalsRowFormula>
    </tableColumn>
    <tableColumn id="10" xr3:uid="{7E6FC103-8E68-4C97-9448-2F09C83A31B0}" uniqueName="10" name="Final do Ting." queryTableFieldId="25" dataDxfId="8"/>
    <tableColumn id="11" xr3:uid="{4C999901-2FE7-4137-B26B-52B57B5DDBCB}" uniqueName="11" name="Gráfico" queryTableFieldId="26" dataDxfId="7"/>
    <tableColumn id="7" xr3:uid="{9FE785FA-3FFB-4ED4-966F-D55BD2C8B26C}" uniqueName="7" name="Data Última Prod." queryTableFieldId="22" dataDxfId="6"/>
    <tableColumn id="12" xr3:uid="{0C525B78-C1E3-4871-B349-268694F87EFE}" uniqueName="12" name="Cód. Classificação" queryTableFieldId="27"/>
    <tableColumn id="13" xr3:uid="{05063173-2BC3-433C-9F75-2B326CB06876}" uniqueName="13" name="Classificação Cor" queryTableFieldId="28" dataDxfId="5"/>
    <tableColumn id="14" xr3:uid="{B7B1A493-7913-4336-95EE-F4EAFEC76203}" uniqueName="14" name="Reduzido Receita" queryTableFieldId="29"/>
    <tableColumn id="15" xr3:uid="{AD7865FC-1FD3-4835-8DDA-4A14ACBEB697}" uniqueName="15" name="Usuário Bloqueio" queryTableFieldId="30" dataDxfId="4"/>
    <tableColumn id="8" xr3:uid="{01F71E30-A1BD-4FBE-BF42-CBF42FF4AAC7}" uniqueName="8" name="Data Bloqueio" queryTableFieldId="23" dataDxfId="3"/>
    <tableColumn id="16" xr3:uid="{6298523C-BF1A-4D3A-8F28-342BF9DB1CFE}" uniqueName="16" name="Data Alteração" queryTableFieldId="31" dataDxfId="2"/>
    <tableColumn id="17" xr3:uid="{FD2E91C2-154B-47BD-A45E-7FB158156C9F}" uniqueName="17" name="Usuário Alterou" queryTableFieldId="32"/>
    <tableColumn id="18" xr3:uid="{88A4B21D-3E7A-4A2E-AA33-8395E66E17C9}" uniqueName="18" name="Nome Usuário Alterou" queryTableFieldId="33" dataDxfId="1"/>
    <tableColumn id="22" xr3:uid="{A224E81C-EAD9-4777-A04B-0760554085A6}" uniqueName="22" name="Status PE" queryTableFieldId="41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DB51A-B964-43D0-A210-8C4A403DCE8A}">
  <sheetPr codeName="Planilha1"/>
  <dimension ref="A1:B2"/>
  <sheetViews>
    <sheetView workbookViewId="0">
      <selection activeCell="B8" sqref="B8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17</v>
      </c>
      <c r="B1" t="s">
        <v>18</v>
      </c>
    </row>
    <row r="2" spans="1:2" x14ac:dyDescent="0.25">
      <c r="A2" s="6" t="s">
        <v>19</v>
      </c>
      <c r="B2" s="7" t="s">
        <v>20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EA21-B214-4F28-87C8-E13153D8B36E}">
  <sheetPr codeName="Planilha2"/>
  <dimension ref="A1:F9"/>
  <sheetViews>
    <sheetView tabSelected="1" workbookViewId="0">
      <selection activeCell="E23" sqref="E23"/>
    </sheetView>
  </sheetViews>
  <sheetFormatPr defaultRowHeight="15" x14ac:dyDescent="0.25"/>
  <cols>
    <col min="1" max="1" width="10.42578125" bestFit="1" customWidth="1"/>
    <col min="2" max="2" width="9.5703125" bestFit="1" customWidth="1"/>
    <col min="3" max="3" width="9" bestFit="1" customWidth="1"/>
    <col min="4" max="4" width="19" bestFit="1" customWidth="1"/>
    <col min="5" max="5" width="15.85546875" bestFit="1" customWidth="1"/>
    <col min="6" max="6" width="20.42578125" bestFit="1" customWidth="1"/>
    <col min="7" max="7" width="19" bestFit="1" customWidth="1"/>
    <col min="8" max="8" width="15.85546875" bestFit="1" customWidth="1"/>
    <col min="9" max="9" width="20.42578125" bestFit="1" customWidth="1"/>
  </cols>
  <sheetData>
    <row r="1" spans="1:6" ht="17.25" x14ac:dyDescent="0.3">
      <c r="A1" s="9" t="s">
        <v>15</v>
      </c>
      <c r="B1" s="9"/>
      <c r="C1" s="9"/>
      <c r="D1" s="9"/>
      <c r="E1" s="9"/>
      <c r="F1" s="9"/>
    </row>
    <row r="2" spans="1:6" x14ac:dyDescent="0.25">
      <c r="A2" t="s">
        <v>23</v>
      </c>
      <c r="B2" t="s">
        <v>25</v>
      </c>
      <c r="C2" t="s">
        <v>27</v>
      </c>
      <c r="D2" t="s">
        <v>3</v>
      </c>
      <c r="E2" t="s">
        <v>4</v>
      </c>
      <c r="F2" t="s">
        <v>21</v>
      </c>
    </row>
    <row r="3" spans="1:6" x14ac:dyDescent="0.25">
      <c r="A3" s="1" t="s">
        <v>33</v>
      </c>
      <c r="B3">
        <v>10</v>
      </c>
      <c r="C3">
        <v>2</v>
      </c>
      <c r="D3" s="8">
        <v>45731</v>
      </c>
      <c r="E3" s="8">
        <v>45785</v>
      </c>
      <c r="F3" s="8"/>
    </row>
    <row r="4" spans="1:6" x14ac:dyDescent="0.25">
      <c r="A4" s="1" t="s">
        <v>40</v>
      </c>
      <c r="B4">
        <v>60</v>
      </c>
      <c r="C4">
        <v>1</v>
      </c>
      <c r="D4" s="8">
        <v>45980</v>
      </c>
      <c r="E4" s="8">
        <v>44608</v>
      </c>
      <c r="F4" s="8"/>
    </row>
    <row r="5" spans="1:6" x14ac:dyDescent="0.25">
      <c r="A5" s="1" t="s">
        <v>54</v>
      </c>
      <c r="B5">
        <v>56</v>
      </c>
      <c r="C5">
        <v>1</v>
      </c>
      <c r="D5" s="8">
        <v>45731</v>
      </c>
      <c r="E5" s="8">
        <v>45730</v>
      </c>
      <c r="F5" s="8"/>
    </row>
    <row r="6" spans="1:6" x14ac:dyDescent="0.25">
      <c r="A6" s="1" t="s">
        <v>47</v>
      </c>
      <c r="B6">
        <v>2</v>
      </c>
      <c r="C6">
        <v>1</v>
      </c>
      <c r="D6" s="8">
        <v>45832</v>
      </c>
      <c r="E6" s="8">
        <v>45855</v>
      </c>
      <c r="F6" s="8"/>
    </row>
    <row r="7" spans="1:6" x14ac:dyDescent="0.25">
      <c r="A7" s="1" t="s">
        <v>48</v>
      </c>
      <c r="B7">
        <v>31</v>
      </c>
      <c r="C7">
        <v>8</v>
      </c>
      <c r="D7" s="8">
        <v>45966</v>
      </c>
      <c r="E7" s="8">
        <v>46106</v>
      </c>
      <c r="F7" s="8"/>
    </row>
    <row r="8" spans="1:6" x14ac:dyDescent="0.25">
      <c r="A8" s="1" t="s">
        <v>41</v>
      </c>
      <c r="B8">
        <v>6</v>
      </c>
      <c r="C8">
        <v>3</v>
      </c>
      <c r="D8" s="8">
        <v>46063</v>
      </c>
      <c r="E8" s="8">
        <v>46102</v>
      </c>
      <c r="F8" s="8"/>
    </row>
    <row r="9" spans="1:6" x14ac:dyDescent="0.25">
      <c r="A9" s="1" t="s">
        <v>49</v>
      </c>
      <c r="B9">
        <v>40</v>
      </c>
      <c r="C9">
        <v>4</v>
      </c>
      <c r="D9" s="8">
        <v>45917</v>
      </c>
      <c r="E9" s="8">
        <v>45120</v>
      </c>
      <c r="F9" s="8"/>
    </row>
  </sheetData>
  <mergeCells count="1">
    <mergeCell ref="A1:F1"/>
  </mergeCells>
  <phoneticPr fontId="1" type="noConversion"/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427C-C699-483F-88BD-9B1FFAC172C9}">
  <sheetPr codeName="Planilha3">
    <pageSetUpPr fitToPage="1"/>
  </sheetPr>
  <dimension ref="A1:AD35"/>
  <sheetViews>
    <sheetView topLeftCell="A4" workbookViewId="0">
      <selection activeCell="I21" sqref="I21"/>
    </sheetView>
  </sheetViews>
  <sheetFormatPr defaultRowHeight="15" x14ac:dyDescent="0.25"/>
  <cols>
    <col min="1" max="1" width="8.85546875" bestFit="1" customWidth="1"/>
    <col min="2" max="2" width="8.7109375" bestFit="1" customWidth="1"/>
    <col min="3" max="3" width="9.28515625" bestFit="1" customWidth="1"/>
    <col min="4" max="4" width="10.42578125" bestFit="1" customWidth="1"/>
    <col min="5" max="5" width="8.42578125" bestFit="1" customWidth="1"/>
    <col min="6" max="6" width="9.5703125" bestFit="1" customWidth="1"/>
    <col min="7" max="7" width="8.42578125" bestFit="1" customWidth="1"/>
    <col min="8" max="8" width="9" bestFit="1" customWidth="1"/>
    <col min="9" max="9" width="12.5703125" bestFit="1" customWidth="1"/>
    <col min="10" max="10" width="15.7109375" bestFit="1" customWidth="1"/>
    <col min="11" max="11" width="15" bestFit="1" customWidth="1"/>
    <col min="12" max="12" width="9.7109375" bestFit="1" customWidth="1"/>
    <col min="13" max="14" width="19" bestFit="1" customWidth="1"/>
    <col min="15" max="15" width="18" bestFit="1" customWidth="1"/>
    <col min="16" max="16" width="18.7109375" bestFit="1" customWidth="1"/>
    <col min="17" max="17" width="30.7109375" bestFit="1" customWidth="1"/>
    <col min="18" max="18" width="15.85546875" bestFit="1" customWidth="1"/>
    <col min="19" max="19" width="16.28515625" bestFit="1" customWidth="1"/>
    <col min="20" max="20" width="17.42578125" bestFit="1" customWidth="1"/>
    <col min="21" max="21" width="29.28515625" bestFit="1" customWidth="1"/>
    <col min="22" max="22" width="11.28515625" bestFit="1" customWidth="1"/>
    <col min="23" max="23" width="16.28515625" bestFit="1" customWidth="1"/>
    <col min="24" max="24" width="17.42578125" bestFit="1" customWidth="1"/>
    <col min="25" max="25" width="29.28515625" bestFit="1" customWidth="1"/>
    <col min="26" max="26" width="5.42578125" bestFit="1" customWidth="1"/>
    <col min="27" max="27" width="12" bestFit="1" customWidth="1"/>
    <col min="28" max="28" width="18.5703125" bestFit="1" customWidth="1"/>
    <col min="29" max="30" width="15.85546875" bestFit="1" customWidth="1"/>
    <col min="31" max="31" width="11.28515625" bestFit="1" customWidth="1"/>
    <col min="32" max="32" width="18.5703125" bestFit="1" customWidth="1"/>
    <col min="33" max="33" width="13.5703125" bestFit="1" customWidth="1"/>
    <col min="34" max="34" width="22.85546875" bestFit="1" customWidth="1"/>
    <col min="35" max="35" width="26.42578125" bestFit="1" customWidth="1"/>
    <col min="36" max="36" width="30.7109375" bestFit="1" customWidth="1"/>
    <col min="37" max="37" width="19.85546875" bestFit="1" customWidth="1"/>
    <col min="38" max="38" width="21" bestFit="1" customWidth="1"/>
    <col min="39" max="39" width="29.28515625" bestFit="1" customWidth="1"/>
  </cols>
  <sheetData>
    <row r="1" spans="1:22" x14ac:dyDescent="0.25">
      <c r="A1" t="s">
        <v>1</v>
      </c>
      <c r="B1" t="s">
        <v>2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16</v>
      </c>
      <c r="J1" t="s">
        <v>5</v>
      </c>
      <c r="K1" t="s">
        <v>6</v>
      </c>
      <c r="L1" t="s">
        <v>7</v>
      </c>
      <c r="M1" t="s">
        <v>3</v>
      </c>
      <c r="N1" t="s">
        <v>8</v>
      </c>
      <c r="O1" t="s">
        <v>9</v>
      </c>
      <c r="P1" t="s">
        <v>10</v>
      </c>
      <c r="Q1" t="s">
        <v>11</v>
      </c>
      <c r="R1" t="s">
        <v>4</v>
      </c>
      <c r="S1" t="s">
        <v>12</v>
      </c>
      <c r="T1" t="s">
        <v>13</v>
      </c>
      <c r="U1" t="s">
        <v>14</v>
      </c>
      <c r="V1" t="s">
        <v>28</v>
      </c>
    </row>
    <row r="2" spans="1:22" x14ac:dyDescent="0.25">
      <c r="A2">
        <v>0</v>
      </c>
      <c r="B2">
        <v>174648</v>
      </c>
      <c r="C2" s="1" t="s">
        <v>49</v>
      </c>
      <c r="D2" s="1" t="s">
        <v>49</v>
      </c>
      <c r="E2">
        <v>40</v>
      </c>
      <c r="F2">
        <v>40</v>
      </c>
      <c r="G2">
        <v>4</v>
      </c>
      <c r="H2">
        <v>4</v>
      </c>
      <c r="I2" s="1" t="s">
        <v>46</v>
      </c>
      <c r="J2" s="5">
        <v>46148.772916666669</v>
      </c>
      <c r="K2" s="5">
        <v>46148.936111111114</v>
      </c>
      <c r="L2" s="1" t="s">
        <v>50</v>
      </c>
      <c r="M2" s="4">
        <v>45917</v>
      </c>
      <c r="N2">
        <v>5</v>
      </c>
      <c r="O2" s="1" t="s">
        <v>32</v>
      </c>
      <c r="P2">
        <v>5676</v>
      </c>
      <c r="Q2" s="1" t="s">
        <v>36</v>
      </c>
      <c r="R2" s="5">
        <v>45120</v>
      </c>
      <c r="S2" s="4">
        <v>46088</v>
      </c>
      <c r="T2">
        <v>5904</v>
      </c>
      <c r="U2" s="1" t="s">
        <v>37</v>
      </c>
      <c r="V2" s="1" t="s">
        <v>29</v>
      </c>
    </row>
    <row r="3" spans="1:22" x14ac:dyDescent="0.25">
      <c r="A3">
        <v>0</v>
      </c>
      <c r="B3">
        <v>175078</v>
      </c>
      <c r="C3" s="1" t="s">
        <v>40</v>
      </c>
      <c r="D3" s="1" t="s">
        <v>40</v>
      </c>
      <c r="E3">
        <v>60</v>
      </c>
      <c r="F3">
        <v>60</v>
      </c>
      <c r="G3">
        <v>1</v>
      </c>
      <c r="H3">
        <v>1</v>
      </c>
      <c r="I3" s="1" t="s">
        <v>53</v>
      </c>
      <c r="J3" s="5">
        <v>46149.535416666666</v>
      </c>
      <c r="K3" s="5">
        <v>46149.722916666666</v>
      </c>
      <c r="L3" s="1" t="s">
        <v>42</v>
      </c>
      <c r="M3" s="4">
        <v>45980</v>
      </c>
      <c r="N3">
        <v>2</v>
      </c>
      <c r="O3" s="1" t="s">
        <v>38</v>
      </c>
      <c r="P3">
        <v>6505</v>
      </c>
      <c r="Q3" s="1" t="s">
        <v>36</v>
      </c>
      <c r="R3" s="5">
        <v>44608</v>
      </c>
      <c r="S3" s="4">
        <v>45954</v>
      </c>
      <c r="T3">
        <v>1264</v>
      </c>
      <c r="U3" s="1" t="s">
        <v>31</v>
      </c>
      <c r="V3" s="1" t="s">
        <v>29</v>
      </c>
    </row>
    <row r="4" spans="1:22" x14ac:dyDescent="0.25">
      <c r="A4">
        <v>0</v>
      </c>
      <c r="B4">
        <v>175390</v>
      </c>
      <c r="C4" s="1" t="s">
        <v>48</v>
      </c>
      <c r="D4" s="1" t="s">
        <v>48</v>
      </c>
      <c r="E4">
        <v>31</v>
      </c>
      <c r="F4">
        <v>31</v>
      </c>
      <c r="G4">
        <v>8</v>
      </c>
      <c r="H4">
        <v>8</v>
      </c>
      <c r="I4" s="1" t="s">
        <v>34</v>
      </c>
      <c r="J4" s="5">
        <v>46150.666666666664</v>
      </c>
      <c r="K4" s="5">
        <v>46151.000694444447</v>
      </c>
      <c r="L4" s="1" t="s">
        <v>51</v>
      </c>
      <c r="M4" s="4">
        <v>45966</v>
      </c>
      <c r="N4">
        <v>8</v>
      </c>
      <c r="O4" s="1" t="s">
        <v>35</v>
      </c>
      <c r="P4">
        <v>6952</v>
      </c>
      <c r="Q4" s="1" t="s">
        <v>44</v>
      </c>
      <c r="R4" s="5">
        <v>46106</v>
      </c>
      <c r="S4" s="4">
        <v>46106</v>
      </c>
      <c r="T4">
        <v>5904</v>
      </c>
      <c r="U4" s="1" t="s">
        <v>37</v>
      </c>
      <c r="V4" s="1" t="s">
        <v>29</v>
      </c>
    </row>
    <row r="5" spans="1:22" x14ac:dyDescent="0.25">
      <c r="A5">
        <v>0</v>
      </c>
      <c r="B5">
        <v>175126</v>
      </c>
      <c r="C5" s="1" t="s">
        <v>33</v>
      </c>
      <c r="D5" s="1" t="s">
        <v>33</v>
      </c>
      <c r="E5">
        <v>10</v>
      </c>
      <c r="F5">
        <v>10</v>
      </c>
      <c r="G5">
        <v>2</v>
      </c>
      <c r="H5">
        <v>2</v>
      </c>
      <c r="I5" s="1" t="s">
        <v>53</v>
      </c>
      <c r="J5" s="5">
        <v>46151.027777777781</v>
      </c>
      <c r="K5" s="5">
        <v>46151.182638888888</v>
      </c>
      <c r="L5" s="1" t="s">
        <v>45</v>
      </c>
      <c r="M5" s="4">
        <v>45731</v>
      </c>
      <c r="N5">
        <v>2</v>
      </c>
      <c r="O5" s="1" t="s">
        <v>38</v>
      </c>
      <c r="P5">
        <v>6290</v>
      </c>
      <c r="Q5" s="1" t="s">
        <v>30</v>
      </c>
      <c r="R5" s="5">
        <v>45785</v>
      </c>
      <c r="S5" s="4">
        <v>46088</v>
      </c>
      <c r="T5">
        <v>5904</v>
      </c>
      <c r="U5" s="1" t="s">
        <v>37</v>
      </c>
      <c r="V5" s="1" t="s">
        <v>29</v>
      </c>
    </row>
    <row r="6" spans="1:22" x14ac:dyDescent="0.25">
      <c r="A6">
        <v>0</v>
      </c>
      <c r="B6">
        <v>175105</v>
      </c>
      <c r="C6" s="1" t="s">
        <v>41</v>
      </c>
      <c r="D6" s="1" t="s">
        <v>41</v>
      </c>
      <c r="E6">
        <v>6</v>
      </c>
      <c r="F6">
        <v>6</v>
      </c>
      <c r="G6">
        <v>3</v>
      </c>
      <c r="H6">
        <v>3</v>
      </c>
      <c r="I6" s="1" t="s">
        <v>55</v>
      </c>
      <c r="J6" s="5">
        <v>46151.229166666664</v>
      </c>
      <c r="K6" s="5">
        <v>46151.59652777778</v>
      </c>
      <c r="L6" s="1" t="s">
        <v>43</v>
      </c>
      <c r="M6" s="4">
        <v>46063</v>
      </c>
      <c r="N6">
        <v>8</v>
      </c>
      <c r="O6" s="1" t="s">
        <v>35</v>
      </c>
      <c r="P6">
        <v>3611</v>
      </c>
      <c r="Q6" s="1" t="s">
        <v>44</v>
      </c>
      <c r="R6" s="5">
        <v>46102</v>
      </c>
      <c r="S6" s="4">
        <v>46102</v>
      </c>
      <c r="T6">
        <v>5904</v>
      </c>
      <c r="U6" s="1" t="s">
        <v>37</v>
      </c>
      <c r="V6" s="1" t="s">
        <v>29</v>
      </c>
    </row>
    <row r="7" spans="1:22" x14ac:dyDescent="0.25">
      <c r="A7">
        <v>0</v>
      </c>
      <c r="B7">
        <v>175790</v>
      </c>
      <c r="C7" s="1" t="s">
        <v>54</v>
      </c>
      <c r="D7" s="1" t="s">
        <v>54</v>
      </c>
      <c r="E7">
        <v>56</v>
      </c>
      <c r="F7">
        <v>56</v>
      </c>
      <c r="G7">
        <v>1</v>
      </c>
      <c r="H7">
        <v>1</v>
      </c>
      <c r="I7" s="1" t="s">
        <v>55</v>
      </c>
      <c r="J7" s="5">
        <v>46154.311111111114</v>
      </c>
      <c r="K7" s="5">
        <v>46154.555555555555</v>
      </c>
      <c r="L7" s="1" t="s">
        <v>56</v>
      </c>
      <c r="M7" s="4">
        <v>45731</v>
      </c>
      <c r="N7">
        <v>15</v>
      </c>
      <c r="O7" s="1" t="s">
        <v>57</v>
      </c>
      <c r="P7">
        <v>5939</v>
      </c>
      <c r="Q7" s="1" t="s">
        <v>30</v>
      </c>
      <c r="R7" s="5">
        <v>45730</v>
      </c>
      <c r="S7" s="4">
        <v>45730</v>
      </c>
      <c r="T7">
        <v>1264</v>
      </c>
      <c r="U7" s="1" t="s">
        <v>31</v>
      </c>
      <c r="V7" s="1" t="s">
        <v>29</v>
      </c>
    </row>
    <row r="8" spans="1:22" x14ac:dyDescent="0.25">
      <c r="A8">
        <v>0</v>
      </c>
      <c r="B8">
        <v>175496</v>
      </c>
      <c r="C8" s="1" t="s">
        <v>47</v>
      </c>
      <c r="D8" s="1" t="s">
        <v>47</v>
      </c>
      <c r="E8">
        <v>2</v>
      </c>
      <c r="F8">
        <v>2</v>
      </c>
      <c r="G8">
        <v>1</v>
      </c>
      <c r="H8">
        <v>1</v>
      </c>
      <c r="I8" s="1" t="s">
        <v>39</v>
      </c>
      <c r="J8" s="5">
        <v>46154.518750000003</v>
      </c>
      <c r="K8" s="5">
        <v>46154.656944444447</v>
      </c>
      <c r="L8" s="1" t="s">
        <v>52</v>
      </c>
      <c r="M8" s="4">
        <v>45832</v>
      </c>
      <c r="N8">
        <v>5</v>
      </c>
      <c r="O8" s="1" t="s">
        <v>32</v>
      </c>
      <c r="P8">
        <v>6431</v>
      </c>
      <c r="Q8" s="1" t="s">
        <v>36</v>
      </c>
      <c r="R8" s="5">
        <v>45855</v>
      </c>
      <c r="S8" s="4">
        <v>46035</v>
      </c>
      <c r="T8">
        <v>5904</v>
      </c>
      <c r="U8" s="1" t="s">
        <v>37</v>
      </c>
      <c r="V8" s="1" t="s">
        <v>29</v>
      </c>
    </row>
    <row r="9" spans="1:22" x14ac:dyDescent="0.25">
      <c r="A9" t="s">
        <v>0</v>
      </c>
      <c r="J9" s="3" t="str">
        <f>_xlfn.CONCAT(COUNTA(_xlfn.UNIQUE(OBsReceitasBloqueadas[Início do Ting.])), " RECEITAS")</f>
        <v>7 RECEITAS</v>
      </c>
    </row>
    <row r="35" spans="30:30" x14ac:dyDescent="0.25">
      <c r="AD35" s="2"/>
    </row>
  </sheetData>
  <phoneticPr fontId="1" type="noConversion"/>
  <pageMargins left="0.511811024" right="0.511811024" top="0.78740157499999996" bottom="0.78740157499999996" header="0.31496062000000002" footer="0.31496062000000002"/>
  <pageSetup paperSize="9" scale="49" orientation="landscape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0E79BD-6830-45AE-BA90-A41A3364A1F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ReceitasBloqueadas</vt:lpstr>
      <vt:lpstr>OBsReceitasBloqueadas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2026-01-21T13:29:14Z</cp:lastPrinted>
  <dcterms:created xsi:type="dcterms:W3CDTF">2024-08-13T13:41:32Z</dcterms:created>
  <dcterms:modified xsi:type="dcterms:W3CDTF">2026-05-05T22:03:43Z</dcterms:modified>
</cp:coreProperties>
</file>