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2FDFF041-DAE0-4905-8BCB-C132F9D85DC1}" xr6:coauthVersionLast="47" xr6:coauthVersionMax="47" xr10:uidLastSave="{00000000-0000-0000-0000-000000000000}"/>
  <bookViews>
    <workbookView xWindow="3120" yWindow="3120" windowWidth="21600" windowHeight="11835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OBsReceitasBloqueadas!$A$1:$V$5</definedName>
    <definedName name="DadosExternos_2" localSheetId="1" hidden="1">'ReceitasBloqueadas'!$A$2:$E$5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6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<sst xmlns="http://schemas.openxmlformats.org/spreadsheetml/2006/main" count="69" uniqueCount="38">
  <si>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</si>
  <si>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</si>
  <si>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</si>
  <si>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</si>
  <si>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</si>
  <si>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</si>
  <si>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</si>
  <si>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</si>
  <si>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</si>
  <si>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</si>
  <si>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</si>
  <si>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</si>
  <si>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</si>
  <si>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</si>
  <si>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</si>
  <si>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</si>
  <si>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</si>
  <si>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</si>
  <si>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</si>
  <si>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</si>
  <si>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</si>
  <si>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</si>
  <si>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</si>
  <si>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</si>
  <si>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</si>
  <si>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</si>
  <si>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</si>
  <si>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</si>
  <si>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</si>
  <si>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</si>
  <si>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</si>
  <si>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</si>
  <si>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ESCURA</t>
  </si>
  <si>
    <t>MQ05</t>
  </si>
  <si>
    <t>00064</t>
  </si>
  <si>
    <t>G 5209</t>
  </si>
  <si>
    <t>ESPECIAL</t>
  </si>
  <si>
    <t>G 5132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</si>
</sst>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/d/yyyy\ h:mm"/>
    <numFmt numFmtId="166" formatCode="dd/mm/yyyy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2" fillId="2" borderId="0" xfId="1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5" tableType="queryTable" totalsRowShown="0">
  <autoFilter ref="A2:F5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2"/>
    <tableColumn id="4" xr3:uid="{FEDCB53C-D0E3-4212-A3C3-5F7D2B9792C1}" uniqueName="4" name="Data Bloqueio" queryTableFieldId="4" dataDxfId="1"/>
    <tableColumn id="6" xr3:uid="{B5AAA960-2528-4E97-A766-714B633D6392}" uniqueName="6" name="Previsão de Liberar" queryTableFieldId="8" dataDxfId="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6" tableType="queryTable" totalsRowCount="1">
  <autoFilter ref="A1:V5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5"/>
    <tableColumn id="4" xr3:uid="{F092E758-35C6-46D4-97A1-4B22BE0345BE}" uniqueName="4" name="Cor Rec." queryTableFieldId="36" dataDxfId="14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3"/>
    <tableColumn id="9" xr3:uid="{280D4197-CED8-4459-97BE-AA856B4F9747}" uniqueName="9" name="Início do Ting." totalsRowFunction="custom" queryTableFieldId="24" dataDxfId="12" totalsRowDxfId="16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11"/>
    <tableColumn id="11" xr3:uid="{4C999901-2FE7-4137-B26B-52B57B5DDBCB}" uniqueName="11" name="Gráfico" queryTableFieldId="26" dataDxfId="10"/>
    <tableColumn id="7" xr3:uid="{9FE785FA-3FFB-4ED4-966F-D55BD2C8B26C}" uniqueName="7" name="Data Última Prod." queryTableFieldId="22" dataDxfId="9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8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7"/>
    <tableColumn id="8" xr3:uid="{01F71E30-A1BD-4FBE-BF42-CBF42FF4AAC7}" uniqueName="8" name="Data Bloqueio" queryTableFieldId="23" dataDxfId="6"/>
    <tableColumn id="16" xr3:uid="{6298523C-BF1A-4D3A-8F28-342BF9DB1CFE}" uniqueName="16" name="Data Alteração" queryTableFieldId="31" dataDxfId="5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4"/>
    <tableColumn id="22" xr3:uid="{A224E81C-EAD9-4777-A04B-0760554085A6}" uniqueName="22" name="Status PE" queryTableFieldId="41" dataDxfId="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I17" sqref="I17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5"/>
  <sheetViews>
    <sheetView tabSelected="1" workbookViewId="0">
      <selection activeCell="I11" sqref="I11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8" t="s">
        <v>15</v>
      </c>
      <c r="B1" s="8"/>
      <c r="C1" s="8"/>
      <c r="D1" s="8"/>
      <c r="E1" s="8"/>
      <c r="F1" s="8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34</v>
      </c>
      <c r="B3">
        <v>1</v>
      </c>
      <c r="C3">
        <v>5</v>
      </c>
      <c r="D3" s="9">
        <v>45813</v>
      </c>
      <c r="E3" s="9">
        <v>46128</v>
      </c>
      <c r="F3" s="9"/>
    </row>
    <row r="4" spans="1:6" x14ac:dyDescent="0.25">
      <c r="A4" s="1" t="s">
        <v>34</v>
      </c>
      <c r="B4">
        <v>10</v>
      </c>
      <c r="C4">
        <v>2</v>
      </c>
      <c r="D4" s="9">
        <v>45738</v>
      </c>
      <c r="E4" s="9">
        <v>45740</v>
      </c>
      <c r="F4" s="9"/>
    </row>
    <row r="5" spans="1:6" x14ac:dyDescent="0.25">
      <c r="A5" s="1" t="s">
        <v>34</v>
      </c>
      <c r="B5">
        <v>34</v>
      </c>
      <c r="C5">
        <v>3</v>
      </c>
      <c r="D5" s="9">
        <v>46127</v>
      </c>
      <c r="E5" s="9">
        <v>46128</v>
      </c>
      <c r="F5" s="9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173830</v>
      </c>
      <c r="C2" s="1" t="s">
        <v>34</v>
      </c>
      <c r="D2" s="1" t="s">
        <v>34</v>
      </c>
      <c r="E2">
        <v>34</v>
      </c>
      <c r="F2">
        <v>34</v>
      </c>
      <c r="G2">
        <v>3</v>
      </c>
      <c r="H2">
        <v>3</v>
      </c>
      <c r="I2" s="1" t="s">
        <v>33</v>
      </c>
      <c r="J2" s="5">
        <v>46134.923611111109</v>
      </c>
      <c r="K2" s="5">
        <v>46135.212500000001</v>
      </c>
      <c r="L2" s="1" t="s">
        <v>35</v>
      </c>
      <c r="M2" s="4">
        <v>46127</v>
      </c>
      <c r="N2">
        <v>5</v>
      </c>
      <c r="O2" s="1" t="s">
        <v>32</v>
      </c>
      <c r="P2">
        <v>3979</v>
      </c>
      <c r="Q2" s="1" t="s">
        <v>30</v>
      </c>
      <c r="R2" s="5">
        <v>46128</v>
      </c>
      <c r="S2" s="4">
        <v>46128</v>
      </c>
      <c r="T2">
        <v>1264</v>
      </c>
      <c r="U2" s="1" t="s">
        <v>31</v>
      </c>
      <c r="V2" s="1" t="s">
        <v>29</v>
      </c>
    </row>
    <row r="3" spans="1:22" x14ac:dyDescent="0.25">
      <c r="A3">
        <v>0</v>
      </c>
      <c r="B3">
        <v>173831</v>
      </c>
      <c r="C3" s="1" t="s">
        <v>34</v>
      </c>
      <c r="D3" s="1" t="s">
        <v>34</v>
      </c>
      <c r="E3">
        <v>34</v>
      </c>
      <c r="F3">
        <v>34</v>
      </c>
      <c r="G3">
        <v>3</v>
      </c>
      <c r="H3">
        <v>3</v>
      </c>
      <c r="I3" s="1" t="s">
        <v>33</v>
      </c>
      <c r="J3" s="5">
        <v>46135.213194444441</v>
      </c>
      <c r="K3" s="5">
        <v>46135.502083333333</v>
      </c>
      <c r="L3" s="1" t="s">
        <v>35</v>
      </c>
      <c r="M3" s="4">
        <v>46127</v>
      </c>
      <c r="N3">
        <v>5</v>
      </c>
      <c r="O3" s="1" t="s">
        <v>32</v>
      </c>
      <c r="P3">
        <v>3979</v>
      </c>
      <c r="Q3" s="1" t="s">
        <v>30</v>
      </c>
      <c r="R3" s="5">
        <v>46128</v>
      </c>
      <c r="S3" s="4">
        <v>46128</v>
      </c>
      <c r="T3">
        <v>1264</v>
      </c>
      <c r="U3" s="1" t="s">
        <v>31</v>
      </c>
      <c r="V3" s="1" t="s">
        <v>29</v>
      </c>
    </row>
    <row r="4" spans="1:22" x14ac:dyDescent="0.25">
      <c r="A4">
        <v>0</v>
      </c>
      <c r="B4">
        <v>173886</v>
      </c>
      <c r="C4" s="1" t="s">
        <v>34</v>
      </c>
      <c r="D4" s="1" t="s">
        <v>34</v>
      </c>
      <c r="E4">
        <v>1</v>
      </c>
      <c r="F4">
        <v>1</v>
      </c>
      <c r="G4">
        <v>5</v>
      </c>
      <c r="H4">
        <v>5</v>
      </c>
      <c r="I4" s="1" t="s">
        <v>33</v>
      </c>
      <c r="J4" s="5">
        <v>46137.554861111108</v>
      </c>
      <c r="K4" s="5">
        <v>46137.84375</v>
      </c>
      <c r="L4" s="1" t="s">
        <v>35</v>
      </c>
      <c r="M4" s="4">
        <v>45813</v>
      </c>
      <c r="N4">
        <v>3</v>
      </c>
      <c r="O4" s="1" t="s">
        <v>36</v>
      </c>
      <c r="P4">
        <v>4341</v>
      </c>
      <c r="Q4" s="1" t="s">
        <v>30</v>
      </c>
      <c r="R4" s="5">
        <v>46128</v>
      </c>
      <c r="S4" s="4">
        <v>46128</v>
      </c>
      <c r="T4">
        <v>1264</v>
      </c>
      <c r="U4" s="1" t="s">
        <v>31</v>
      </c>
      <c r="V4" s="1" t="s">
        <v>29</v>
      </c>
    </row>
    <row r="5" spans="1:22" x14ac:dyDescent="0.25">
      <c r="A5">
        <v>0</v>
      </c>
      <c r="B5">
        <v>174233</v>
      </c>
      <c r="C5" s="1" t="s">
        <v>34</v>
      </c>
      <c r="D5" s="1" t="s">
        <v>34</v>
      </c>
      <c r="E5">
        <v>10</v>
      </c>
      <c r="F5">
        <v>10</v>
      </c>
      <c r="G5">
        <v>2</v>
      </c>
      <c r="H5">
        <v>2</v>
      </c>
      <c r="I5" s="1" t="s">
        <v>33</v>
      </c>
      <c r="J5" s="5">
        <v>46140.795138888891</v>
      </c>
      <c r="K5" s="5">
        <v>46140.978472222225</v>
      </c>
      <c r="L5" s="1" t="s">
        <v>37</v>
      </c>
      <c r="M5" s="4">
        <v>45738</v>
      </c>
      <c r="N5">
        <v>5</v>
      </c>
      <c r="O5" s="1" t="s">
        <v>32</v>
      </c>
      <c r="P5">
        <v>6297</v>
      </c>
      <c r="Q5" s="1" t="s">
        <v>30</v>
      </c>
      <c r="R5" s="5">
        <v>45740</v>
      </c>
      <c r="S5" s="4">
        <v>45740</v>
      </c>
      <c r="T5">
        <v>1264</v>
      </c>
      <c r="U5" s="1" t="s">
        <v>31</v>
      </c>
      <c r="V5" s="1" t="s">
        <v>29</v>
      </c>
    </row>
    <row r="6" spans="1:22" x14ac:dyDescent="0.25">
      <c r="A6" t="s">
        <v>0</v>
      </c>
      <c r="J6" s="3" t="str">
        <f>_xlfn.CONCAT(COUNTA(_xlfn.UNIQUE(OBsReceitasBloqueadas[Início do Ting.])), " RECEITAS")</f>
        <v>4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2026-04-20T10:30:29Z</dcterms:modified>
</cp:coreProperties>
</file>