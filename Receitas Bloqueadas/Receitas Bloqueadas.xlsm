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3B57585A-ED8F-4C32-BE2D-CA5907F6B2CF}" xr6:coauthVersionLast="47" xr6:coauthVersionMax="47" xr10:uidLastSave="{00000000-0000-0000-0000-000000000000}"/>
  <bookViews>
    <workbookView xWindow="-120" yWindow="-120" windowWidth="290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OBsReceitasBloqueadas!$A$1:$V$8</definedName>
    <definedName name="DadosExternos_2" localSheetId="1" hidden="1">'ReceitasBloqueadas'!$A$2:$E$7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<sst xmlns="http://schemas.openxmlformats.org/spreadsheetml/2006/main" count="95" uniqueCount="48">
  <si>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</si>
  <si>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</si>
  <si>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</si>
  <si>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</si>
  <si>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</si>
  <si>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</si>
  <si>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</si>
  <si>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</si>
  <si>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</si>
  <si>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</si>
  <si>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</si>
  <si>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</si>
  <si>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</si>
  <si>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</si>
  <si>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</si>
  <si>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</si>
  <si>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</si>
  <si>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</si>
  <si>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</si>
  <si>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</si>
  <si>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</si>
  <si>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</si>
  <si>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</si>
  <si>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</si>
  <si>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</si>
  <si>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</si>
  <si>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</si>
  <si>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</si>
  <si>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</si>
  <si>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</si>
  <si>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</si>
  <si>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</si>
  <si>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</si>
  <si>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MEDIA</t>
  </si>
  <si>
    <t>00019</t>
  </si>
  <si>
    <t>00067</t>
  </si>
  <si>
    <t>MQ04</t>
  </si>
  <si>
    <t>G 5138</t>
  </si>
  <si>
    <t>MQ08</t>
  </si>
  <si>
    <t>MQ01</t>
  </si>
  <si>
    <t>G 5146</t>
  </si>
  <si>
    <t>CLARA</t>
  </si>
  <si>
    <t>00008</t>
  </si>
  <si>
    <t>G 5115</t>
  </si>
  <si>
    <t>G 5580</t>
  </si>
  <si>
    <t>00016</t>
  </si>
  <si>
    <t>G 5113</t>
  </si>
  <si>
    <t>MQ02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</si>
</sst>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\ h:mm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14" fontId="0" fillId="0" borderId="0" xfId="0" applyNumberFormat="1" applyAlignment="1">
      <alignment horizontal="center"/>
    </xf>
    <xf numFmtId="0" fontId="2" fillId="2" borderId="0" xfId="1" applyFill="1" applyBorder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alignment horizontal="center" vertical="bottom" textRotation="0" wrapText="0" indent="0" justifyLastLine="0" shrinkToFit="0" readingOrder="0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7" tableType="queryTable" totalsRowShown="0">
  <autoFilter ref="A2:F7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16"/>
    <tableColumn id="4" xr3:uid="{FEDCB53C-D0E3-4212-A3C3-5F7D2B9792C1}" uniqueName="4" name="Data Bloqueio" queryTableFieldId="4" dataDxfId="15"/>
    <tableColumn id="6" xr3:uid="{B5AAA960-2528-4E97-A766-714B633D6392}" uniqueName="6" name="Previsão de Liberar" queryTableFieldId="8" dataDxfId="1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9" tableType="queryTable" totalsRowCount="1">
  <autoFilter ref="A1:V8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3"/>
    <tableColumn id="4" xr3:uid="{F092E758-35C6-46D4-97A1-4B22BE0345BE}" uniqueName="4" name="Cor Rec." queryTableFieldId="36" dataDxfId="12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1"/>
    <tableColumn id="9" xr3:uid="{280D4197-CED8-4459-97BE-AA856B4F9747}" uniqueName="9" name="Início do Ting." totalsRowFunction="custom" queryTableFieldId="24" dataDxfId="10" totalsRowDxfId="9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8"/>
    <tableColumn id="11" xr3:uid="{4C999901-2FE7-4137-B26B-52B57B5DDBCB}" uniqueName="11" name="Gráfico" queryTableFieldId="26" dataDxfId="7"/>
    <tableColumn id="7" xr3:uid="{9FE785FA-3FFB-4ED4-966F-D55BD2C8B26C}" uniqueName="7" name="Data Última Prod." queryTableFieldId="22" dataDxfId="6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5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4"/>
    <tableColumn id="8" xr3:uid="{01F71E30-A1BD-4FBE-BF42-CBF42FF4AAC7}" uniqueName="8" name="Data Bloqueio" queryTableFieldId="23" dataDxfId="3"/>
    <tableColumn id="16" xr3:uid="{6298523C-BF1A-4D3A-8F28-342BF9DB1CFE}" uniqueName="16" name="Data Alteração" queryTableFieldId="31" dataDxfId="2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1"/>
    <tableColumn id="22" xr3:uid="{A224E81C-EAD9-4777-A04B-0760554085A6}" uniqueName="22" name="Status PE" queryTableFieldId="4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7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42</v>
      </c>
      <c r="B3">
        <v>1</v>
      </c>
      <c r="C3">
        <v>5</v>
      </c>
      <c r="D3" s="8">
        <v>46057</v>
      </c>
      <c r="E3" s="8">
        <v>46094</v>
      </c>
      <c r="F3" s="8"/>
    </row>
    <row r="4" spans="1:6" x14ac:dyDescent="0.25">
      <c r="A4" s="1" t="s">
        <v>45</v>
      </c>
      <c r="B4">
        <v>1</v>
      </c>
      <c r="C4">
        <v>7</v>
      </c>
      <c r="D4" s="8">
        <v>45910</v>
      </c>
      <c r="E4" s="8">
        <v>45910</v>
      </c>
      <c r="F4" s="8"/>
    </row>
    <row r="5" spans="1:6" x14ac:dyDescent="0.25">
      <c r="A5" s="1" t="s">
        <v>34</v>
      </c>
      <c r="B5">
        <v>2</v>
      </c>
      <c r="C5">
        <v>5</v>
      </c>
      <c r="D5" s="8">
        <v>46104</v>
      </c>
      <c r="E5" s="8">
        <v>46105</v>
      </c>
      <c r="F5" s="8"/>
    </row>
    <row r="6" spans="1:6" x14ac:dyDescent="0.25">
      <c r="A6" s="1" t="s">
        <v>34</v>
      </c>
      <c r="B6">
        <v>15</v>
      </c>
      <c r="C6">
        <v>1</v>
      </c>
      <c r="D6" s="8">
        <v>45945</v>
      </c>
      <c r="E6" s="8">
        <v>46114</v>
      </c>
      <c r="F6" s="8"/>
    </row>
    <row r="7" spans="1:6" x14ac:dyDescent="0.25">
      <c r="A7" s="1" t="s">
        <v>35</v>
      </c>
      <c r="B7">
        <v>21</v>
      </c>
      <c r="C7">
        <v>15</v>
      </c>
      <c r="D7" s="8">
        <v>46100</v>
      </c>
      <c r="E7" s="8">
        <v>46101</v>
      </c>
      <c r="F7" s="8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185750</v>
      </c>
      <c r="B2">
        <v>173002</v>
      </c>
      <c r="C2" s="1" t="s">
        <v>42</v>
      </c>
      <c r="D2" s="1" t="s">
        <v>42</v>
      </c>
      <c r="E2">
        <v>1</v>
      </c>
      <c r="F2">
        <v>1</v>
      </c>
      <c r="G2">
        <v>5</v>
      </c>
      <c r="H2">
        <v>5</v>
      </c>
      <c r="I2" s="1" t="s">
        <v>47</v>
      </c>
      <c r="J2" s="5">
        <v>46125.166666666664</v>
      </c>
      <c r="K2" s="5">
        <v>46125.291666666664</v>
      </c>
      <c r="L2" s="1" t="s">
        <v>43</v>
      </c>
      <c r="M2" s="4">
        <v>46057</v>
      </c>
      <c r="N2">
        <v>1</v>
      </c>
      <c r="O2" s="1" t="s">
        <v>41</v>
      </c>
      <c r="P2">
        <v>6535</v>
      </c>
      <c r="Q2" s="1" t="s">
        <v>30</v>
      </c>
      <c r="R2" s="5">
        <v>46094</v>
      </c>
      <c r="S2" s="4">
        <v>46120</v>
      </c>
      <c r="T2">
        <v>1264</v>
      </c>
      <c r="U2" s="1" t="s">
        <v>31</v>
      </c>
      <c r="V2" s="1" t="s">
        <v>29</v>
      </c>
    </row>
    <row r="3" spans="1:22" x14ac:dyDescent="0.25">
      <c r="A3">
        <v>185757</v>
      </c>
      <c r="B3">
        <v>173042</v>
      </c>
      <c r="C3" s="1" t="s">
        <v>42</v>
      </c>
      <c r="D3" s="1" t="s">
        <v>42</v>
      </c>
      <c r="E3">
        <v>1</v>
      </c>
      <c r="F3">
        <v>1</v>
      </c>
      <c r="G3">
        <v>5</v>
      </c>
      <c r="H3">
        <v>5</v>
      </c>
      <c r="I3" s="1" t="s">
        <v>38</v>
      </c>
      <c r="J3" s="5">
        <v>46125.988888888889</v>
      </c>
      <c r="K3" s="5">
        <v>46126.113888888889</v>
      </c>
      <c r="L3" s="1" t="s">
        <v>43</v>
      </c>
      <c r="M3" s="4">
        <v>46057</v>
      </c>
      <c r="N3">
        <v>1</v>
      </c>
      <c r="O3" s="1" t="s">
        <v>41</v>
      </c>
      <c r="P3">
        <v>6535</v>
      </c>
      <c r="Q3" s="1" t="s">
        <v>30</v>
      </c>
      <c r="R3" s="5">
        <v>46094</v>
      </c>
      <c r="S3" s="4">
        <v>46120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172773</v>
      </c>
      <c r="C4" s="1" t="s">
        <v>35</v>
      </c>
      <c r="D4" s="1" t="s">
        <v>35</v>
      </c>
      <c r="E4">
        <v>21</v>
      </c>
      <c r="F4">
        <v>21</v>
      </c>
      <c r="G4">
        <v>15</v>
      </c>
      <c r="H4">
        <v>15</v>
      </c>
      <c r="I4" s="1" t="s">
        <v>36</v>
      </c>
      <c r="J4" s="5">
        <v>46126.750694444447</v>
      </c>
      <c r="K4" s="5">
        <v>46126.930555555555</v>
      </c>
      <c r="L4" s="1" t="s">
        <v>37</v>
      </c>
      <c r="M4" s="4">
        <v>46100</v>
      </c>
      <c r="N4">
        <v>5</v>
      </c>
      <c r="O4" s="1" t="s">
        <v>32</v>
      </c>
      <c r="P4">
        <v>5529</v>
      </c>
      <c r="Q4" s="1" t="s">
        <v>30</v>
      </c>
      <c r="R4" s="5">
        <v>46101</v>
      </c>
      <c r="S4" s="4">
        <v>46101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172841</v>
      </c>
      <c r="C5" s="1" t="s">
        <v>34</v>
      </c>
      <c r="D5" s="1" t="s">
        <v>34</v>
      </c>
      <c r="E5">
        <v>2</v>
      </c>
      <c r="F5">
        <v>2</v>
      </c>
      <c r="G5">
        <v>5</v>
      </c>
      <c r="H5">
        <v>5</v>
      </c>
      <c r="I5" s="1" t="s">
        <v>39</v>
      </c>
      <c r="J5" s="5">
        <v>46128.370833333334</v>
      </c>
      <c r="K5" s="5">
        <v>46128.504861111112</v>
      </c>
      <c r="L5" s="1" t="s">
        <v>40</v>
      </c>
      <c r="M5" s="4">
        <v>46104</v>
      </c>
      <c r="N5">
        <v>2</v>
      </c>
      <c r="O5" s="1" t="s">
        <v>33</v>
      </c>
      <c r="P5">
        <v>5695</v>
      </c>
      <c r="Q5" s="1" t="s">
        <v>30</v>
      </c>
      <c r="R5" s="5">
        <v>46105</v>
      </c>
      <c r="S5" s="4">
        <v>46105</v>
      </c>
      <c r="T5">
        <v>1264</v>
      </c>
      <c r="U5" s="1" t="s">
        <v>31</v>
      </c>
      <c r="V5" s="1" t="s">
        <v>29</v>
      </c>
    </row>
    <row r="6" spans="1:22" x14ac:dyDescent="0.25">
      <c r="A6">
        <v>0</v>
      </c>
      <c r="B6">
        <v>173173</v>
      </c>
      <c r="C6" s="1" t="s">
        <v>34</v>
      </c>
      <c r="D6" s="1" t="s">
        <v>34</v>
      </c>
      <c r="E6">
        <v>15</v>
      </c>
      <c r="F6">
        <v>15</v>
      </c>
      <c r="G6">
        <v>1</v>
      </c>
      <c r="H6">
        <v>1</v>
      </c>
      <c r="I6" s="1" t="s">
        <v>38</v>
      </c>
      <c r="J6" s="5">
        <v>46128.496527777781</v>
      </c>
      <c r="K6" s="5">
        <v>46128.693055555559</v>
      </c>
      <c r="L6" s="1" t="s">
        <v>44</v>
      </c>
      <c r="M6" s="4">
        <v>45945</v>
      </c>
      <c r="N6">
        <v>5</v>
      </c>
      <c r="O6" s="1" t="s">
        <v>32</v>
      </c>
      <c r="P6">
        <v>7193</v>
      </c>
      <c r="Q6" s="1" t="s">
        <v>30</v>
      </c>
      <c r="R6" s="5">
        <v>46114</v>
      </c>
      <c r="S6" s="4">
        <v>46114</v>
      </c>
      <c r="T6">
        <v>1264</v>
      </c>
      <c r="U6" s="1" t="s">
        <v>31</v>
      </c>
      <c r="V6" s="1" t="s">
        <v>29</v>
      </c>
    </row>
    <row r="7" spans="1:22" x14ac:dyDescent="0.25">
      <c r="A7">
        <v>185848</v>
      </c>
      <c r="B7">
        <v>173512</v>
      </c>
      <c r="C7" s="1" t="s">
        <v>45</v>
      </c>
      <c r="D7" s="1" t="s">
        <v>45</v>
      </c>
      <c r="E7">
        <v>1</v>
      </c>
      <c r="F7">
        <v>1</v>
      </c>
      <c r="G7">
        <v>7</v>
      </c>
      <c r="H7">
        <v>7</v>
      </c>
      <c r="I7" s="1" t="s">
        <v>38</v>
      </c>
      <c r="J7" s="5">
        <v>46134.208333333336</v>
      </c>
      <c r="K7" s="5">
        <v>46134.334027777775</v>
      </c>
      <c r="L7" s="1" t="s">
        <v>46</v>
      </c>
      <c r="M7" s="4">
        <v>45910</v>
      </c>
      <c r="N7">
        <v>1</v>
      </c>
      <c r="O7" s="1" t="s">
        <v>41</v>
      </c>
      <c r="P7">
        <v>6480</v>
      </c>
      <c r="Q7" s="1" t="s">
        <v>30</v>
      </c>
      <c r="R7" s="5">
        <v>45910</v>
      </c>
      <c r="S7" s="4">
        <v>45926</v>
      </c>
      <c r="T7">
        <v>1264</v>
      </c>
      <c r="U7" s="1" t="s">
        <v>31</v>
      </c>
      <c r="V7" s="1" t="s">
        <v>29</v>
      </c>
    </row>
    <row r="8" spans="1:22" x14ac:dyDescent="0.25">
      <c r="A8">
        <v>185848</v>
      </c>
      <c r="B8">
        <v>173524</v>
      </c>
      <c r="C8" s="1" t="s">
        <v>45</v>
      </c>
      <c r="D8" s="1" t="s">
        <v>45</v>
      </c>
      <c r="E8">
        <v>1</v>
      </c>
      <c r="F8">
        <v>1</v>
      </c>
      <c r="G8">
        <v>7</v>
      </c>
      <c r="H8">
        <v>7</v>
      </c>
      <c r="I8" s="1" t="s">
        <v>38</v>
      </c>
      <c r="J8" s="5">
        <v>46134.208333333336</v>
      </c>
      <c r="K8" s="5">
        <v>46134.334027777775</v>
      </c>
      <c r="L8" s="1" t="s">
        <v>46</v>
      </c>
      <c r="M8" s="4">
        <v>45910</v>
      </c>
      <c r="N8">
        <v>1</v>
      </c>
      <c r="O8" s="1" t="s">
        <v>41</v>
      </c>
      <c r="P8">
        <v>6480</v>
      </c>
      <c r="Q8" s="1" t="s">
        <v>30</v>
      </c>
      <c r="R8" s="5">
        <v>45910</v>
      </c>
      <c r="S8" s="4">
        <v>45926</v>
      </c>
      <c r="T8">
        <v>1264</v>
      </c>
      <c r="U8" s="1" t="s">
        <v>31</v>
      </c>
      <c r="V8" s="1" t="s">
        <v>29</v>
      </c>
    </row>
    <row r="9" spans="1:22" x14ac:dyDescent="0.25">
      <c r="A9" t="s">
        <v>0</v>
      </c>
      <c r="J9" s="3" t="str">
        <f>_xlfn.CONCAT(COUNTA(_xlfn.UNIQUE(OBsReceitasBloqueadas[Início do Ting.])), " RECEITAS")</f>
        <v>6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2026-04-11T21:53:36Z</dcterms:modified>
</cp:coreProperties>
</file>