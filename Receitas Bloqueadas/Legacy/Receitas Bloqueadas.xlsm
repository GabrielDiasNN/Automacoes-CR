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Legacy\"/>
    </mc:Choice>
  </mc:AlternateContent>
  <xr:revisionPtr revIDLastSave="0" documentId="13_ncr:1_{266B6BE9-3712-4712-92EF-7639BA80BEAE}" xr6:coauthVersionLast="47" xr6:coauthVersionMax="47" xr10:uidLastSave="{00000000-0000-0000-0000-000000000000}"/>
  <bookViews>
    <workbookView xWindow="2730" yWindow="2730" windowWidth="21600" windowHeight="11385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OBsReceitasBloqueadas!$A$1:$V$8</definedName>
    <definedName name="DadosExternos_2" localSheetId="1" hidden="1">'ReceitasBloqueadas'!$A$2:$F$9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9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<sst xmlns="http://schemas.openxmlformats.org/spreadsheetml/2006/main" count="103" uniqueCount="59">
  <si>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</si>
  <si>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</si>
  <si>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</si>
  <si>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</si>
  <si>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</si>
  <si>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</si>
  <si>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</si>
  <si>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</si>
  <si>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</si>
  <si>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</si>
  <si>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</si>
  <si>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</si>
  <si>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</si>
  <si>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</si>
  <si>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</si>
  <si>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</si>
  <si>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</si>
  <si>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</si>
  <si>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</si>
  <si>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</si>
  <si>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</si>
  <si>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</si>
  <si>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</si>
  <si>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</si>
  <si>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</si>
  <si>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</si>
  <si>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</si>
  <si>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</si>
  <si>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</si>
  <si>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</si>
  <si>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</si>
  <si>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</si>
  <si>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</si>
  <si>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00020</t>
  </si>
  <si>
    <t>MQ08</t>
  </si>
  <si>
    <t>ESCURO 2 FIBRAS</t>
  </si>
  <si>
    <t xml:space="preserve">ELISA MENDES                  </t>
  </si>
  <si>
    <t>TATIANA MAIARA DE ARAUJO</t>
  </si>
  <si>
    <t>MEDIA</t>
  </si>
  <si>
    <t>MQ06</t>
  </si>
  <si>
    <t>00021</t>
  </si>
  <si>
    <t>00072</t>
  </si>
  <si>
    <t>G 5054</t>
  </si>
  <si>
    <t>G 5330</t>
  </si>
  <si>
    <t xml:space="preserve">TATIANA MAIARA DE ARAUJO      </t>
  </si>
  <si>
    <t>G 5133</t>
  </si>
  <si>
    <t>MQ04</t>
  </si>
  <si>
    <t>00055</t>
  </si>
  <si>
    <t>00067</t>
  </si>
  <si>
    <t>00073</t>
  </si>
  <si>
    <t>G 5026</t>
  </si>
  <si>
    <t>G 5616</t>
  </si>
  <si>
    <t>G 5033</t>
  </si>
  <si>
    <t>MQ05</t>
  </si>
  <si>
    <t>00051</t>
  </si>
  <si>
    <t>MQ07</t>
  </si>
  <si>
    <t>G 5090</t>
  </si>
  <si>
    <t>PRETO 2 FIBRAS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</si>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</sst>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"/>
    <numFmt numFmtId="165" formatCode="m/d/yyyy\ h:mm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14" fontId="0" fillId="0" borderId="0" xfId="0" applyNumberFormat="1" applyAlignment="1">
      <alignment horizontal="center"/>
    </xf>
    <xf numFmtId="0" fontId="2" fillId="2" borderId="0" xfId="1" applyFill="1" applyBorder="1" applyAlignment="1">
      <alignment horizontal="center"/>
    </xf>
  </cellXfs>
  <cellStyles count="2">
    <cellStyle name="Normal" xfId="0" builtinId="0"/>
    <cellStyle name="Título 2" xfId="1" builtinId="17"/>
  </cellStyles>
  <dxfs count="19"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alignment horizontal="center" vertical="bottom" textRotation="0" wrapText="0" indent="0" justifyLastLine="0" shrinkToFit="0" readingOrder="0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6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15" name="Previsão de Liberar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8"/>
    <tableColumn id="2" xr3:uid="{957AFF98-01D2-45DE-84A5-99DD4F909E72}" name="Cópia" dataDxfId="1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9" tableType="queryTable" totalsRowShown="0">
  <autoFilter ref="A2:F9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6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15"/>
    <tableColumn id="4" xr3:uid="{FEDCB53C-D0E3-4212-A3C3-5F7D2B9792C1}" uniqueName="4" name="Data Bloqueio" queryTableFieldId="4" dataDxfId="14"/>
    <tableColumn id="6" xr3:uid="{BCD143F8-D48A-43F1-86EC-E8047E5A1C94}" uniqueName="6" name="Previsão de Liberar" queryTableFieldId="15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9" tableType="queryTable" totalsRowCount="1">
  <autoFilter ref="A1:V8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3"/>
    <tableColumn id="4" xr3:uid="{F092E758-35C6-46D4-97A1-4B22BE0345BE}" uniqueName="4" name="Cor Rec." queryTableFieldId="36" dataDxfId="12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1"/>
    <tableColumn id="9" xr3:uid="{280D4197-CED8-4459-97BE-AA856B4F9747}" uniqueName="9" name="Início do Ting." totalsRowFunction="custom" queryTableFieldId="24" dataDxfId="10" totalsRowDxfId="9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8"/>
    <tableColumn id="11" xr3:uid="{4C999901-2FE7-4137-B26B-52B57B5DDBCB}" uniqueName="11" name="Gráfico" queryTableFieldId="26" dataDxfId="7"/>
    <tableColumn id="7" xr3:uid="{9FE785FA-3FFB-4ED4-966F-D55BD2C8B26C}" uniqueName="7" name="Data Última Prod." queryTableFieldId="22" dataDxfId="6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5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4"/>
    <tableColumn id="8" xr3:uid="{01F71E30-A1BD-4FBE-BF42-CBF42FF4AAC7}" uniqueName="8" name="Data Bloqueio" queryTableFieldId="23" dataDxfId="3"/>
    <tableColumn id="16" xr3:uid="{6298523C-BF1A-4D3A-8F28-342BF9DB1CFE}" uniqueName="16" name="Data Alteração" queryTableFieldId="31" dataDxfId="2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1"/>
    <tableColumn id="22" xr3:uid="{A224E81C-EAD9-4777-A04B-0760554085A6}" uniqueName="22" name="Status PE" queryTableFieldId="41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9"/>
  <sheetViews>
    <sheetView tabSelected="1" workbookViewId="0">
      <selection sqref="A1:XFD1048576"/>
    </sheetView>
  </sheetViews>
  <sheetFormatPr defaultRowHeight="15" x14ac:dyDescent="0.25"/>
  <cols>
    <col min="1" max="1" width="8.140625" bestFit="1" customWidth="1"/>
    <col min="2" max="2" width="7.28515625" bestFit="1" customWidth="1"/>
    <col min="3" max="3" width="6.7109375" bestFit="1" customWidth="1"/>
    <col min="4" max="4" width="16.7109375" bestFit="1" customWidth="1"/>
    <col min="5" max="5" width="13.5703125" bestFit="1" customWidth="1"/>
    <col min="6" max="6" width="18.1406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9" t="s">
        <v>15</v>
      </c>
      <c r="B1" s="9"/>
      <c r="C1" s="9"/>
      <c r="D1" s="9"/>
      <c r="E1" s="9"/>
      <c r="F1" s="9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33</v>
      </c>
      <c r="B3">
        <v>10</v>
      </c>
      <c r="C3">
        <v>2</v>
      </c>
      <c r="D3" s="8">
        <v>45731</v>
      </c>
      <c r="E3" s="8">
        <v>45785</v>
      </c>
      <c r="F3" t="s">
        <v>58</v>
      </c>
    </row>
    <row r="4" spans="1:6" x14ac:dyDescent="0.25">
      <c r="A4" s="1" t="s">
        <v>40</v>
      </c>
      <c r="B4">
        <v>60</v>
      </c>
      <c r="C4">
        <v>1</v>
      </c>
      <c r="D4" s="8">
        <v>45980</v>
      </c>
      <c r="E4" s="8">
        <v>44608</v>
      </c>
    </row>
    <row r="5" spans="1:6" x14ac:dyDescent="0.25">
      <c r="A5" s="1" t="s">
        <v>54</v>
      </c>
      <c r="B5">
        <v>56</v>
      </c>
      <c r="C5">
        <v>1</v>
      </c>
      <c r="D5" s="8">
        <v>45731</v>
      </c>
      <c r="E5" s="8">
        <v>45730</v>
      </c>
      <c r="F5" t="s">
        <v>58</v>
      </c>
    </row>
    <row r="6" spans="1:6" x14ac:dyDescent="0.25">
      <c r="A6" s="1" t="s">
        <v>47</v>
      </c>
      <c r="B6">
        <v>2</v>
      </c>
      <c r="C6">
        <v>1</v>
      </c>
      <c r="D6" s="8">
        <v>45832</v>
      </c>
      <c r="E6" s="8">
        <v>45855</v>
      </c>
      <c r="F6" t="s">
        <v>58</v>
      </c>
    </row>
    <row r="7" spans="1:6" x14ac:dyDescent="0.25">
      <c r="A7" s="1" t="s">
        <v>48</v>
      </c>
      <c r="B7">
        <v>31</v>
      </c>
      <c r="C7">
        <v>8</v>
      </c>
      <c r="D7" s="8">
        <v>45966</v>
      </c>
      <c r="E7" s="8">
        <v>46106</v>
      </c>
      <c r="F7" t="s">
        <v>58</v>
      </c>
    </row>
    <row r="8" spans="1:6" x14ac:dyDescent="0.25">
      <c r="A8" s="1" t="s">
        <v>41</v>
      </c>
      <c r="B8">
        <v>6</v>
      </c>
      <c r="C8">
        <v>3</v>
      </c>
      <c r="D8" s="8">
        <v>46063</v>
      </c>
      <c r="E8" s="8">
        <v>46102</v>
      </c>
      <c r="F8" t="s">
        <v>58</v>
      </c>
    </row>
    <row r="9" spans="1:6" x14ac:dyDescent="0.25">
      <c r="A9" s="1" t="s">
        <v>49</v>
      </c>
      <c r="B9">
        <v>40</v>
      </c>
      <c r="C9">
        <v>4</v>
      </c>
      <c r="D9" s="8">
        <v>45917</v>
      </c>
      <c r="E9" s="8">
        <v>45120</v>
      </c>
      <c r="F9" t="s">
        <v>58</v>
      </c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174648</v>
      </c>
      <c r="C2" s="1" t="s">
        <v>49</v>
      </c>
      <c r="D2" s="1" t="s">
        <v>49</v>
      </c>
      <c r="E2">
        <v>40</v>
      </c>
      <c r="F2">
        <v>40</v>
      </c>
      <c r="G2">
        <v>4</v>
      </c>
      <c r="H2">
        <v>4</v>
      </c>
      <c r="I2" s="1" t="s">
        <v>46</v>
      </c>
      <c r="J2" s="5">
        <v>46148.772916666669</v>
      </c>
      <c r="K2" s="5">
        <v>46148.936111111114</v>
      </c>
      <c r="L2" s="1" t="s">
        <v>50</v>
      </c>
      <c r="M2" s="4">
        <v>45917</v>
      </c>
      <c r="N2">
        <v>5</v>
      </c>
      <c r="O2" s="1" t="s">
        <v>32</v>
      </c>
      <c r="P2">
        <v>5676</v>
      </c>
      <c r="Q2" s="1" t="s">
        <v>36</v>
      </c>
      <c r="R2" s="5">
        <v>45120</v>
      </c>
      <c r="S2" s="4">
        <v>46088</v>
      </c>
      <c r="T2">
        <v>5904</v>
      </c>
      <c r="U2" s="1" t="s">
        <v>37</v>
      </c>
      <c r="V2" s="1" t="s">
        <v>29</v>
      </c>
    </row>
    <row r="3" spans="1:22" x14ac:dyDescent="0.25">
      <c r="A3">
        <v>0</v>
      </c>
      <c r="B3">
        <v>175078</v>
      </c>
      <c r="C3" s="1" t="s">
        <v>40</v>
      </c>
      <c r="D3" s="1" t="s">
        <v>40</v>
      </c>
      <c r="E3">
        <v>60</v>
      </c>
      <c r="F3">
        <v>60</v>
      </c>
      <c r="G3">
        <v>1</v>
      </c>
      <c r="H3">
        <v>1</v>
      </c>
      <c r="I3" s="1" t="s">
        <v>53</v>
      </c>
      <c r="J3" s="5">
        <v>46149.535416666666</v>
      </c>
      <c r="K3" s="5">
        <v>46149.722916666666</v>
      </c>
      <c r="L3" s="1" t="s">
        <v>42</v>
      </c>
      <c r="M3" s="4">
        <v>45980</v>
      </c>
      <c r="N3">
        <v>2</v>
      </c>
      <c r="O3" s="1" t="s">
        <v>38</v>
      </c>
      <c r="P3">
        <v>6505</v>
      </c>
      <c r="Q3" s="1" t="s">
        <v>36</v>
      </c>
      <c r="R3" s="5">
        <v>44608</v>
      </c>
      <c r="S3" s="4">
        <v>45954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175390</v>
      </c>
      <c r="C4" s="1" t="s">
        <v>48</v>
      </c>
      <c r="D4" s="1" t="s">
        <v>48</v>
      </c>
      <c r="E4">
        <v>31</v>
      </c>
      <c r="F4">
        <v>31</v>
      </c>
      <c r="G4">
        <v>8</v>
      </c>
      <c r="H4">
        <v>8</v>
      </c>
      <c r="I4" s="1" t="s">
        <v>34</v>
      </c>
      <c r="J4" s="5">
        <v>46150.666666666664</v>
      </c>
      <c r="K4" s="5">
        <v>46151.000694444447</v>
      </c>
      <c r="L4" s="1" t="s">
        <v>51</v>
      </c>
      <c r="M4" s="4">
        <v>45966</v>
      </c>
      <c r="N4">
        <v>8</v>
      </c>
      <c r="O4" s="1" t="s">
        <v>35</v>
      </c>
      <c r="P4">
        <v>6952</v>
      </c>
      <c r="Q4" s="1" t="s">
        <v>44</v>
      </c>
      <c r="R4" s="5">
        <v>46106</v>
      </c>
      <c r="S4" s="4">
        <v>46106</v>
      </c>
      <c r="T4">
        <v>5904</v>
      </c>
      <c r="U4" s="1" t="s">
        <v>37</v>
      </c>
      <c r="V4" s="1" t="s">
        <v>29</v>
      </c>
    </row>
    <row r="5" spans="1:22" x14ac:dyDescent="0.25">
      <c r="A5">
        <v>0</v>
      </c>
      <c r="B5">
        <v>175126</v>
      </c>
      <c r="C5" s="1" t="s">
        <v>33</v>
      </c>
      <c r="D5" s="1" t="s">
        <v>33</v>
      </c>
      <c r="E5">
        <v>10</v>
      </c>
      <c r="F5">
        <v>10</v>
      </c>
      <c r="G5">
        <v>2</v>
      </c>
      <c r="H5">
        <v>2</v>
      </c>
      <c r="I5" s="1" t="s">
        <v>53</v>
      </c>
      <c r="J5" s="5">
        <v>46151.027777777781</v>
      </c>
      <c r="K5" s="5">
        <v>46151.182638888888</v>
      </c>
      <c r="L5" s="1" t="s">
        <v>45</v>
      </c>
      <c r="M5" s="4">
        <v>45731</v>
      </c>
      <c r="N5">
        <v>2</v>
      </c>
      <c r="O5" s="1" t="s">
        <v>38</v>
      </c>
      <c r="P5">
        <v>6290</v>
      </c>
      <c r="Q5" s="1" t="s">
        <v>30</v>
      </c>
      <c r="R5" s="5">
        <v>45785</v>
      </c>
      <c r="S5" s="4">
        <v>46088</v>
      </c>
      <c r="T5">
        <v>5904</v>
      </c>
      <c r="U5" s="1" t="s">
        <v>37</v>
      </c>
      <c r="V5" s="1" t="s">
        <v>29</v>
      </c>
    </row>
    <row r="6" spans="1:22" x14ac:dyDescent="0.25">
      <c r="A6">
        <v>0</v>
      </c>
      <c r="B6">
        <v>175105</v>
      </c>
      <c r="C6" s="1" t="s">
        <v>41</v>
      </c>
      <c r="D6" s="1" t="s">
        <v>41</v>
      </c>
      <c r="E6">
        <v>6</v>
      </c>
      <c r="F6">
        <v>6</v>
      </c>
      <c r="G6">
        <v>3</v>
      </c>
      <c r="H6">
        <v>3</v>
      </c>
      <c r="I6" s="1" t="s">
        <v>55</v>
      </c>
      <c r="J6" s="5">
        <v>46151.229166666664</v>
      </c>
      <c r="K6" s="5">
        <v>46151.59652777778</v>
      </c>
      <c r="L6" s="1" t="s">
        <v>43</v>
      </c>
      <c r="M6" s="4">
        <v>46063</v>
      </c>
      <c r="N6">
        <v>8</v>
      </c>
      <c r="O6" s="1" t="s">
        <v>35</v>
      </c>
      <c r="P6">
        <v>3611</v>
      </c>
      <c r="Q6" s="1" t="s">
        <v>44</v>
      </c>
      <c r="R6" s="5">
        <v>46102</v>
      </c>
      <c r="S6" s="4">
        <v>46102</v>
      </c>
      <c r="T6">
        <v>5904</v>
      </c>
      <c r="U6" s="1" t="s">
        <v>37</v>
      </c>
      <c r="V6" s="1" t="s">
        <v>29</v>
      </c>
    </row>
    <row r="7" spans="1:22" x14ac:dyDescent="0.25">
      <c r="A7">
        <v>0</v>
      </c>
      <c r="B7">
        <v>175790</v>
      </c>
      <c r="C7" s="1" t="s">
        <v>54</v>
      </c>
      <c r="D7" s="1" t="s">
        <v>54</v>
      </c>
      <c r="E7">
        <v>56</v>
      </c>
      <c r="F7">
        <v>56</v>
      </c>
      <c r="G7">
        <v>1</v>
      </c>
      <c r="H7">
        <v>1</v>
      </c>
      <c r="I7" s="1" t="s">
        <v>55</v>
      </c>
      <c r="J7" s="5">
        <v>46154.311111111114</v>
      </c>
      <c r="K7" s="5">
        <v>46154.555555555555</v>
      </c>
      <c r="L7" s="1" t="s">
        <v>56</v>
      </c>
      <c r="M7" s="4">
        <v>45731</v>
      </c>
      <c r="N7">
        <v>15</v>
      </c>
      <c r="O7" s="1" t="s">
        <v>57</v>
      </c>
      <c r="P7">
        <v>5939</v>
      </c>
      <c r="Q7" s="1" t="s">
        <v>30</v>
      </c>
      <c r="R7" s="5">
        <v>45730</v>
      </c>
      <c r="S7" s="4">
        <v>45730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175496</v>
      </c>
      <c r="C8" s="1" t="s">
        <v>47</v>
      </c>
      <c r="D8" s="1" t="s">
        <v>47</v>
      </c>
      <c r="E8">
        <v>2</v>
      </c>
      <c r="F8">
        <v>2</v>
      </c>
      <c r="G8">
        <v>1</v>
      </c>
      <c r="H8">
        <v>1</v>
      </c>
      <c r="I8" s="1" t="s">
        <v>39</v>
      </c>
      <c r="J8" s="5">
        <v>46154.518750000003</v>
      </c>
      <c r="K8" s="5">
        <v>46154.656944444447</v>
      </c>
      <c r="L8" s="1" t="s">
        <v>52</v>
      </c>
      <c r="M8" s="4">
        <v>45832</v>
      </c>
      <c r="N8">
        <v>5</v>
      </c>
      <c r="O8" s="1" t="s">
        <v>32</v>
      </c>
      <c r="P8">
        <v>6431</v>
      </c>
      <c r="Q8" s="1" t="s">
        <v>36</v>
      </c>
      <c r="R8" s="5">
        <v>45855</v>
      </c>
      <c r="S8" s="4">
        <v>46035</v>
      </c>
      <c r="T8">
        <v>5904</v>
      </c>
      <c r="U8" s="1" t="s">
        <v>37</v>
      </c>
      <c r="V8" s="1" t="s">
        <v>29</v>
      </c>
    </row>
    <row r="9" spans="1:22" x14ac:dyDescent="0.25">
      <c r="A9" t="s">
        <v>0</v>
      </c>
      <c r="J9" s="3" t="str">
        <f>_xlfn.CONCAT(COUNTA(_xlfn.UNIQUE(OBsReceitasBloqueadas[Início do Ting.])), " RECEITAS")</f>
        <v>7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2026-05-05T23:39:48Z</dcterms:modified>
</cp:coreProperties>
</file>