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Emitidas\"/>
    </mc:Choice>
  </mc:AlternateContent>
  <xr:revisionPtr revIDLastSave="0" documentId="13_ncr:1_{12FF90B7-6305-4290-AC71-6E56C0F7551A}" xr6:coauthVersionLast="47" xr6:coauthVersionMax="47" xr10:uidLastSave="{00000000-0000-0000-0000-000000000000}"/>
  <bookViews>
    <workbookView xWindow="1515" yWindow="1515" windowWidth="28800" windowHeight="11385" activeTab="1" xr2:uid="{E36E89AB-B6B3-4723-B386-2AC7DD1FA543}"/>
  </bookViews>
  <sheets>
    <sheet name="Config" sheetId="6" r:id="rId1"/>
    <sheet name="ControleReceitasEmitidas" sheetId="5" r:id="rId2"/>
  </sheets>
  <calcPr calcId="191029" iterate="1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42E38E-0E6A-4A21-B4DC-850A04C6ADA0}" keepAlive="1" name="Consulta - ControleReceitasEmitidas" description="Conexão com a consulta 'ControleReceitasEmitidas' na pasta de trabalho." type="5" refreshedVersion="7" saveData="1">
    <dbPr connection="Provider=Microsoft.Mashup.OleDb.1;Data Source=$Workbook$;Location=ControleReceitasEmitidas;Extended Properties=&quot;&quot;" command="SELECT * FROM [ControleReceitasEmitidas]"/>
  </connection>
</connections>
</file>

<file path=xl/sharedStrings.xml><?xml version="1.0" encoding="utf-8"?>
<sst xmlns="http://schemas.openxmlformats.org/spreadsheetml/2006/main" count="19" uniqueCount="19">
  <si>
    <t>PESADA</t>
  </si>
  <si>
    <t>Total Geral</t>
  </si>
  <si>
    <t>NÃO</t>
  </si>
  <si>
    <t>MQ01</t>
  </si>
  <si>
    <t>Máq./Grupo/Nº OB</t>
  </si>
  <si>
    <t>Início do Tingimento</t>
  </si>
  <si>
    <t>MQ02</t>
  </si>
  <si>
    <t>MQ05</t>
  </si>
  <si>
    <t>MQ09</t>
  </si>
  <si>
    <t>MQ10</t>
  </si>
  <si>
    <t>MQ03</t>
  </si>
  <si>
    <t>MQ04</t>
  </si>
  <si>
    <t>MQ06</t>
  </si>
  <si>
    <t>MQ07</t>
  </si>
  <si>
    <t>MQ11</t>
  </si>
  <si>
    <t>MQ08</t>
  </si>
  <si>
    <t>Para</t>
  </si>
  <si>
    <t>Cópia</t>
  </si>
  <si>
    <t>acacio.klann@costaricamalhas.ind.br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</si>
</sst>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22" fontId="0" fillId="0" borderId="0" xfId="0" applyNumberFormat="1"/>
    <xf numFmtId="0" fontId="0" fillId="0" borderId="2" xfId="0" applyBorder="1"/>
    <xf numFmtId="0" fontId="1" fillId="0" borderId="1" xfId="1" applyBorder="1"/>
  </cellXfs>
  <cellStyles count="2">
    <cellStyle name="Hiperlink" xfId="1" builtinId="8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Dias Nunes Neto" refreshedDate="46112.567744444445" missingItemsLimit="0" createdVersion="7" refreshedVersion="7" minRefreshableVersion="3" recordCount="109" xr:uid="{088AC9E7-39B8-4A43-B54B-DF415EDABC53}">
  <cacheSource type="external" connectionId="1"/>
  <cacheFields count="15">
    <cacheField name="GRUPO" numFmtId="0">
      <sharedItems containsSemiMixedTypes="0" containsString="0" containsNumber="1" containsInteger="1" minValue="0" maxValue="185722" count="18">
        <n v="0"/>
        <n v="185676"/>
        <n v="185641"/>
        <n v="185688"/>
        <n v="185639"/>
        <n v="185629"/>
        <n v="185712"/>
        <n v="185679"/>
        <n v="185569"/>
        <n v="185638"/>
        <n v="185637"/>
        <n v="185722"/>
        <n v="185636"/>
        <n v="185678"/>
        <n v="185635"/>
        <n v="185630"/>
        <n v="185634"/>
        <n v="185714"/>
      </sharedItems>
    </cacheField>
    <cacheField name="NUMERO_OB" numFmtId="0">
      <sharedItems containsSemiMixedTypes="0" containsString="0" containsNumber="1" containsInteger="1" minValue="169975" maxValue="172505" count="109">
        <n v="171870"/>
        <n v="171970"/>
        <n v="171971"/>
        <n v="171742"/>
        <n v="171854"/>
        <n v="171923"/>
        <n v="171481"/>
        <n v="171482"/>
        <n v="172405"/>
        <n v="172406"/>
        <n v="172404"/>
        <n v="171924"/>
        <n v="172000"/>
        <n v="172015"/>
        <n v="171857"/>
        <n v="171486"/>
        <n v="171485"/>
        <n v="171925"/>
        <n v="171816"/>
        <n v="171817"/>
        <n v="171158"/>
        <n v="171159"/>
        <n v="169975"/>
        <n v="171053"/>
        <n v="171729"/>
        <n v="171222"/>
        <n v="171791"/>
        <n v="171821"/>
        <n v="171820"/>
        <n v="171806"/>
        <n v="172043"/>
        <n v="171831"/>
        <n v="171863"/>
        <n v="171926"/>
        <n v="171945"/>
        <n v="171944"/>
        <n v="171751"/>
        <n v="171275"/>
        <n v="172505"/>
        <n v="172170"/>
        <n v="171719"/>
        <n v="172392"/>
        <n v="171304"/>
        <n v="172410"/>
        <n v="172168"/>
        <n v="172008"/>
        <n v="171589"/>
        <n v="171303"/>
        <n v="172010"/>
        <n v="171268"/>
        <n v="171670"/>
        <n v="172396"/>
        <n v="172504"/>
        <n v="172397"/>
        <n v="171634"/>
        <n v="172400"/>
        <n v="171788"/>
        <n v="171487"/>
        <n v="171488"/>
        <n v="171990"/>
        <n v="171689"/>
        <n v="172044"/>
        <n v="171860"/>
        <n v="171749"/>
        <n v="171489"/>
        <n v="171490"/>
        <n v="171927"/>
        <n v="171832"/>
        <n v="172498"/>
        <n v="172415"/>
        <n v="172473"/>
        <n v="170091"/>
        <n v="172503"/>
        <n v="171492"/>
        <n v="171491"/>
        <n v="171790"/>
        <n v="171958"/>
        <n v="171748"/>
        <n v="172041"/>
        <n v="171947"/>
        <n v="171946"/>
        <n v="171494"/>
        <n v="171493"/>
        <n v="172017"/>
        <n v="171928"/>
        <n v="171833"/>
        <n v="172413"/>
        <n v="172492"/>
        <n v="172394"/>
        <n v="171229"/>
        <n v="172393"/>
        <n v="172107"/>
        <n v="172167"/>
        <n v="172494"/>
        <n v="172497"/>
        <n v="172493"/>
        <n v="172414"/>
        <n v="172395"/>
        <n v="172412"/>
        <n v="172162"/>
        <n v="171731"/>
        <n v="171495"/>
        <n v="171496"/>
        <n v="171747"/>
        <n v="171772"/>
        <n v="172389"/>
        <n v="172054"/>
        <n v="172002"/>
        <n v="172055"/>
      </sharedItems>
    </cacheField>
    <cacheField name="PESADA" numFmtId="0">
      <sharedItems count="2">
        <s v="SIM"/>
        <s v="NÃO"/>
      </sharedItems>
    </cacheField>
    <cacheField name="MQ_TING" numFmtId="0">
      <sharedItems count="11">
        <s v="MQ08"/>
        <s v="MQ09"/>
        <s v="MQ05"/>
        <s v="MQ03"/>
        <s v="MQ02"/>
        <s v="MQ11"/>
        <s v="MQ07"/>
        <s v="MQ10"/>
        <s v="MQ06"/>
        <s v="MQ04"/>
        <s v="MQ01"/>
      </sharedItems>
    </cacheField>
    <cacheField name="INICIO_TING" numFmtId="0">
      <sharedItems containsSemiMixedTypes="0" containsNonDate="0" containsDate="1" containsString="0" minDate="2026-03-31T08:21:00" maxDate="2026-04-01T16:52:00"/>
    </cacheField>
    <cacheField name="FINAL_TING" numFmtId="0">
      <sharedItems containsSemiMixedTypes="0" containsNonDate="0" containsDate="1" containsString="0" minDate="2026-03-31T12:27:00" maxDate="2026-04-01T20:14:00"/>
    </cacheField>
    <cacheField name="ARTIGO" numFmtId="0">
      <sharedItems count="19">
        <s v="00189     "/>
        <s v="00042     "/>
        <s v="00012     "/>
        <s v="00024     "/>
        <s v="00032     "/>
        <s v="00184     "/>
        <s v="00149     "/>
        <s v="00178     "/>
        <s v="00018     "/>
        <s v="00016     "/>
        <s v="00014     "/>
        <s v="00022     "/>
        <s v="00030     "/>
        <s v="00142     "/>
        <s v="00047     "/>
        <s v="00146     "/>
        <s v="00056     "/>
        <s v="00201     "/>
        <s v="00207     "/>
      </sharedItems>
    </cacheField>
    <cacheField name="REDUZIDO" numFmtId="0">
      <sharedItems containsSemiMixedTypes="0" containsString="0" containsNumber="1" containsInteger="1" minValue="25" maxValue="15517"/>
    </cacheField>
    <cacheField name="DESCRICAO" numFmtId="0">
      <sharedItems/>
    </cacheField>
    <cacheField name="FASE_ATUAL" numFmtId="0">
      <sharedItems count="2">
        <s v="TIN-TINGIMENTO"/>
        <s v="RMC-REVISÃO MALHA CRUA"/>
      </sharedItems>
    </cacheField>
    <cacheField name="STATUS_FASE" numFmtId="0">
      <sharedItems count="4">
        <s v="EM EXECUÇÃO"/>
        <s v="PESADA"/>
        <s v="EMITIDA"/>
        <s v="PROGRAMADA"/>
      </sharedItems>
    </cacheField>
    <cacheField name="USUARIO" numFmtId="0">
      <sharedItems containsBlank="1" count="5">
        <s v="RAFAEL ALEXANDRE DA ROSA"/>
        <s v="GLEVID AVISAI  CEDEÑO  MOLINA"/>
        <m/>
        <s v="FABIO ALEXANDRE SANTOS DAMASCE"/>
        <s v="FABIO DOS SANTOS MACIEL"/>
      </sharedItems>
    </cacheField>
    <cacheField name="HORARIO_PESADO" numFmtId="0">
      <sharedItems containsNonDate="0" containsDate="1" containsString="0" containsBlank="1" minDate="2026-03-30T09:15:41" maxDate="2026-03-31T11:15:12" count="29">
        <d v="2026-03-31T00:17:21"/>
        <d v="2026-03-30T19:37:00"/>
        <d v="2026-03-31T00:57:14"/>
        <m/>
        <d v="2026-03-30T23:21:13"/>
        <d v="2026-03-30T23:37:13"/>
        <d v="2026-03-31T02:27:25"/>
        <d v="2026-03-31T09:59:05"/>
        <d v="2026-03-31T08:28:30"/>
        <d v="2026-03-31T07:46:51"/>
        <d v="2026-03-31T08:12:04"/>
        <d v="2026-03-30T23:31:28"/>
        <d v="2026-03-31T10:09:22"/>
        <d v="2026-03-31T02:41:09"/>
        <d v="2026-03-31T07:15:48"/>
        <d v="2026-03-31T10:04:20"/>
        <d v="2026-03-31T08:31:12"/>
        <d v="2026-03-31T11:15:12"/>
        <d v="2026-03-31T00:26:21"/>
        <d v="2026-03-31T08:19:03"/>
        <d v="2026-03-31T08:37:51"/>
        <d v="2026-03-31T10:17:58"/>
        <d v="2026-03-31T07:53:46"/>
        <d v="2026-03-31T10:28:50"/>
        <d v="2026-03-31T10:15:15"/>
        <d v="2026-03-31T10:01:43"/>
        <d v="2026-03-31T10:12:49"/>
        <d v="2026-03-31T08:03:55"/>
        <d v="2026-03-30T09:15:41"/>
      </sharedItems>
    </cacheField>
    <cacheField name="DIAS_PESADO" numFmtId="0">
      <sharedItems containsString="0" containsBlank="1" containsNumber="1" minValue="0.1" maxValue="1.18" count="19">
        <n v="0.56000000000000005"/>
        <n v="0.75"/>
        <n v="0.53"/>
        <m/>
        <n v="0.59"/>
        <n v="0.57999999999999996"/>
        <n v="0.47"/>
        <n v="0.15"/>
        <n v="0.21"/>
        <n v="0.24"/>
        <n v="0.23"/>
        <n v="0.14000000000000001"/>
        <n v="0.46"/>
        <n v="0.27"/>
        <n v="0.1"/>
        <n v="0.55000000000000004"/>
        <n v="0.22"/>
        <n v="0.13"/>
        <n v="1.18"/>
      </sharedItems>
    </cacheField>
    <cacheField name="QUANT_PESADA" numFmtId="0">
      <sharedItems containsSemiMixedTypes="0" containsString="0" containsNumber="1" minValue="0" maxValue="985.88021000000003" count="29">
        <n v="5.9950700000000001"/>
        <n v="985.88021000000003"/>
        <n v="10.458"/>
        <n v="0"/>
        <n v="8.0530000000000008"/>
        <n v="6.95"/>
        <n v="46.875"/>
        <n v="8.1760000000000002"/>
        <n v="0.41248000000000001"/>
        <n v="6.79244"/>
        <n v="0.40381"/>
        <n v="6.9809999999999999"/>
        <n v="8.0760000000000005"/>
        <n v="68.38"/>
        <n v="6.0570000000000004"/>
        <n v="5.7240000000000002"/>
        <n v="0.14954999999999999"/>
        <n v="8.0690000000000008"/>
        <n v="81.626000000000005"/>
        <n v="0.32901999999999998"/>
        <n v="52.167999999999999"/>
        <n v="6.9969999999999999"/>
        <n v="6.7070800000000004"/>
        <n v="88.923000000000002"/>
        <n v="7.0659999999999998"/>
        <n v="5.7270000000000003"/>
        <n v="6.9880000000000004"/>
        <n v="54.783000000000001"/>
        <n v="1.471000000000000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9">
  <r>
    <x v="0"/>
    <x v="0"/>
    <x v="0"/>
    <x v="0"/>
    <d v="2026-03-31T08:21:00"/>
    <d v="2026-03-31T13:47:00"/>
    <x v="0"/>
    <n v="15515"/>
    <s v="VISCOLYCRA VORTEX CARAMELO"/>
    <x v="0"/>
    <x v="0"/>
    <x v="0"/>
    <x v="0"/>
    <x v="0"/>
    <x v="0"/>
  </r>
  <r>
    <x v="1"/>
    <x v="1"/>
    <x v="0"/>
    <x v="1"/>
    <d v="2026-03-31T08:25:00"/>
    <d v="2026-03-31T16:41:00"/>
    <x v="1"/>
    <n v="1344"/>
    <s v="M/M 30/1 PV MARINHO"/>
    <x v="0"/>
    <x v="0"/>
    <x v="1"/>
    <x v="1"/>
    <x v="1"/>
    <x v="1"/>
  </r>
  <r>
    <x v="1"/>
    <x v="2"/>
    <x v="0"/>
    <x v="1"/>
    <d v="2026-03-31T08:25:00"/>
    <d v="2026-03-31T16:41:00"/>
    <x v="1"/>
    <n v="1344"/>
    <s v="M/M 30/1 PV MARINHO"/>
    <x v="0"/>
    <x v="0"/>
    <x v="1"/>
    <x v="1"/>
    <x v="1"/>
    <x v="1"/>
  </r>
  <r>
    <x v="0"/>
    <x v="3"/>
    <x v="0"/>
    <x v="2"/>
    <d v="2026-03-31T08:36:00"/>
    <d v="2026-03-31T16:03:00"/>
    <x v="2"/>
    <n v="12470"/>
    <s v="RIBANA 30/1 PV VERDE BANDEIRA"/>
    <x v="0"/>
    <x v="0"/>
    <x v="0"/>
    <x v="2"/>
    <x v="2"/>
    <x v="2"/>
  </r>
  <r>
    <x v="0"/>
    <x v="4"/>
    <x v="1"/>
    <x v="3"/>
    <d v="2026-03-31T09:22:00"/>
    <d v="2026-03-31T12:27:00"/>
    <x v="3"/>
    <n v="3393"/>
    <s v="M/M 24/1 18 TRAMAS AZUL BEBÊ (P) ESTAMPADO"/>
    <x v="0"/>
    <x v="0"/>
    <x v="2"/>
    <x v="3"/>
    <x v="3"/>
    <x v="3"/>
  </r>
  <r>
    <x v="0"/>
    <x v="5"/>
    <x v="0"/>
    <x v="4"/>
    <d v="2026-03-31T09:39:00"/>
    <d v="2026-03-31T13:07:00"/>
    <x v="4"/>
    <n v="208"/>
    <s v="M/M 30/1 PENTEADO BRANCO"/>
    <x v="0"/>
    <x v="0"/>
    <x v="0"/>
    <x v="4"/>
    <x v="4"/>
    <x v="4"/>
  </r>
  <r>
    <x v="2"/>
    <x v="6"/>
    <x v="0"/>
    <x v="5"/>
    <d v="2026-03-31T10:49:00"/>
    <d v="2026-03-31T12:45:00"/>
    <x v="5"/>
    <n v="1825"/>
    <s v="POLIÉSTER FIADO BRANCO"/>
    <x v="0"/>
    <x v="0"/>
    <x v="0"/>
    <x v="5"/>
    <x v="5"/>
    <x v="5"/>
  </r>
  <r>
    <x v="2"/>
    <x v="7"/>
    <x v="0"/>
    <x v="5"/>
    <d v="2026-03-31T10:49:00"/>
    <d v="2026-03-31T12:45:00"/>
    <x v="5"/>
    <n v="1825"/>
    <s v="POLIÉSTER FIADO BRANCO"/>
    <x v="0"/>
    <x v="0"/>
    <x v="0"/>
    <x v="5"/>
    <x v="5"/>
    <x v="5"/>
  </r>
  <r>
    <x v="3"/>
    <x v="8"/>
    <x v="0"/>
    <x v="6"/>
    <d v="2026-03-31T11:26:00"/>
    <d v="2026-03-31T17:19:00"/>
    <x v="1"/>
    <n v="1334"/>
    <s v="M/M 30/1 PV PRETO"/>
    <x v="0"/>
    <x v="0"/>
    <x v="0"/>
    <x v="6"/>
    <x v="6"/>
    <x v="6"/>
  </r>
  <r>
    <x v="3"/>
    <x v="9"/>
    <x v="0"/>
    <x v="6"/>
    <d v="2026-03-31T11:26:00"/>
    <d v="2026-03-31T17:19:00"/>
    <x v="1"/>
    <n v="1334"/>
    <s v="M/M 30/1 PV PRETO"/>
    <x v="0"/>
    <x v="0"/>
    <x v="0"/>
    <x v="6"/>
    <x v="6"/>
    <x v="6"/>
  </r>
  <r>
    <x v="3"/>
    <x v="10"/>
    <x v="0"/>
    <x v="6"/>
    <d v="2026-03-31T11:26:00"/>
    <d v="2026-03-31T17:19:00"/>
    <x v="1"/>
    <n v="1334"/>
    <s v="M/M 30/1 PV PRETO"/>
    <x v="0"/>
    <x v="0"/>
    <x v="0"/>
    <x v="6"/>
    <x v="6"/>
    <x v="6"/>
  </r>
  <r>
    <x v="0"/>
    <x v="11"/>
    <x v="0"/>
    <x v="7"/>
    <d v="2026-03-31T12:19:00"/>
    <d v="2026-03-31T16:13:00"/>
    <x v="4"/>
    <n v="208"/>
    <s v="M/M 30/1 PENTEADO BRANCO"/>
    <x v="0"/>
    <x v="0"/>
    <x v="3"/>
    <x v="7"/>
    <x v="7"/>
    <x v="7"/>
  </r>
  <r>
    <x v="0"/>
    <x v="12"/>
    <x v="0"/>
    <x v="8"/>
    <d v="2026-03-31T12:44:00"/>
    <d v="2026-03-31T15:49:00"/>
    <x v="6"/>
    <n v="371"/>
    <s v="HELANCA SUEDINE 100%CO AMARELO BEBÊ"/>
    <x v="0"/>
    <x v="0"/>
    <x v="3"/>
    <x v="8"/>
    <x v="8"/>
    <x v="8"/>
  </r>
  <r>
    <x v="0"/>
    <x v="13"/>
    <x v="0"/>
    <x v="9"/>
    <d v="2026-03-31T12:52:00"/>
    <d v="2026-03-31T16:45:00"/>
    <x v="7"/>
    <n v="1053"/>
    <s v="SUPLEX ESPECIAL AMARELO CANÁRIO"/>
    <x v="0"/>
    <x v="0"/>
    <x v="3"/>
    <x v="9"/>
    <x v="9"/>
    <x v="9"/>
  </r>
  <r>
    <x v="0"/>
    <x v="14"/>
    <x v="0"/>
    <x v="3"/>
    <d v="2026-03-31T13:01:00"/>
    <d v="2026-03-31T16:23:00"/>
    <x v="3"/>
    <n v="3394"/>
    <s v="M/M 24/1 18 TRAMAS VERDE BEBÊ (P) ESTAMPADO"/>
    <x v="0"/>
    <x v="1"/>
    <x v="3"/>
    <x v="10"/>
    <x v="10"/>
    <x v="10"/>
  </r>
  <r>
    <x v="4"/>
    <x v="15"/>
    <x v="0"/>
    <x v="5"/>
    <d v="2026-03-31T13:01:00"/>
    <d v="2026-03-31T14:37:00"/>
    <x v="5"/>
    <n v="1825"/>
    <s v="POLIÉSTER FIADO BRANCO"/>
    <x v="0"/>
    <x v="1"/>
    <x v="0"/>
    <x v="11"/>
    <x v="4"/>
    <x v="11"/>
  </r>
  <r>
    <x v="4"/>
    <x v="16"/>
    <x v="0"/>
    <x v="5"/>
    <d v="2026-03-31T13:01:00"/>
    <d v="2026-03-31T14:37:00"/>
    <x v="5"/>
    <n v="1825"/>
    <s v="POLIÉSTER FIADO BRANCO"/>
    <x v="0"/>
    <x v="1"/>
    <x v="0"/>
    <x v="11"/>
    <x v="4"/>
    <x v="11"/>
  </r>
  <r>
    <x v="0"/>
    <x v="17"/>
    <x v="0"/>
    <x v="4"/>
    <d v="2026-03-31T13:08:00"/>
    <d v="2026-03-31T16:26:00"/>
    <x v="4"/>
    <n v="208"/>
    <s v="M/M 30/1 PENTEADO BRANCO"/>
    <x v="0"/>
    <x v="1"/>
    <x v="3"/>
    <x v="12"/>
    <x v="11"/>
    <x v="12"/>
  </r>
  <r>
    <x v="5"/>
    <x v="18"/>
    <x v="0"/>
    <x v="10"/>
    <d v="2026-03-31T13:24:00"/>
    <d v="2026-03-31T19:16:00"/>
    <x v="8"/>
    <n v="2005"/>
    <s v="PIQUE PA PRETO"/>
    <x v="0"/>
    <x v="2"/>
    <x v="0"/>
    <x v="13"/>
    <x v="12"/>
    <x v="13"/>
  </r>
  <r>
    <x v="5"/>
    <x v="19"/>
    <x v="0"/>
    <x v="10"/>
    <d v="2026-03-31T13:24:00"/>
    <d v="2026-03-31T19:16:00"/>
    <x v="9"/>
    <n v="607"/>
    <s v="GOLA PA PRETO"/>
    <x v="0"/>
    <x v="2"/>
    <x v="0"/>
    <x v="13"/>
    <x v="12"/>
    <x v="13"/>
  </r>
  <r>
    <x v="5"/>
    <x v="20"/>
    <x v="0"/>
    <x v="10"/>
    <d v="2026-03-31T13:24:00"/>
    <d v="2026-03-31T19:16:00"/>
    <x v="8"/>
    <n v="2005"/>
    <s v="PIQUE PA PRETO"/>
    <x v="0"/>
    <x v="2"/>
    <x v="0"/>
    <x v="13"/>
    <x v="12"/>
    <x v="13"/>
  </r>
  <r>
    <x v="5"/>
    <x v="21"/>
    <x v="0"/>
    <x v="10"/>
    <d v="2026-03-31T13:24:00"/>
    <d v="2026-03-31T19:16:00"/>
    <x v="10"/>
    <n v="606"/>
    <s v="RIBANA 2X1 24/1 PA PRETO"/>
    <x v="0"/>
    <x v="2"/>
    <x v="0"/>
    <x v="13"/>
    <x v="12"/>
    <x v="13"/>
  </r>
  <r>
    <x v="5"/>
    <x v="22"/>
    <x v="0"/>
    <x v="10"/>
    <d v="2026-03-31T13:24:00"/>
    <d v="2026-03-31T19:16:00"/>
    <x v="8"/>
    <n v="2005"/>
    <s v="PIQUE PA PRETO"/>
    <x v="0"/>
    <x v="2"/>
    <x v="0"/>
    <x v="13"/>
    <x v="12"/>
    <x v="13"/>
  </r>
  <r>
    <x v="5"/>
    <x v="23"/>
    <x v="0"/>
    <x v="10"/>
    <d v="2026-03-31T13:24:00"/>
    <d v="2026-03-31T19:16:00"/>
    <x v="8"/>
    <n v="2005"/>
    <s v="PIQUE PA PRETO"/>
    <x v="0"/>
    <x v="2"/>
    <x v="0"/>
    <x v="13"/>
    <x v="12"/>
    <x v="13"/>
  </r>
  <r>
    <x v="5"/>
    <x v="24"/>
    <x v="0"/>
    <x v="10"/>
    <d v="2026-03-31T13:24:00"/>
    <d v="2026-03-31T19:16:00"/>
    <x v="8"/>
    <n v="2005"/>
    <s v="PIQUE PA PRETO"/>
    <x v="0"/>
    <x v="2"/>
    <x v="0"/>
    <x v="13"/>
    <x v="12"/>
    <x v="13"/>
  </r>
  <r>
    <x v="5"/>
    <x v="25"/>
    <x v="0"/>
    <x v="10"/>
    <d v="2026-03-31T13:24:00"/>
    <d v="2026-03-31T19:16:00"/>
    <x v="10"/>
    <n v="606"/>
    <s v="RIBANA 2X1 24/1 PA PRETO"/>
    <x v="0"/>
    <x v="2"/>
    <x v="0"/>
    <x v="13"/>
    <x v="12"/>
    <x v="13"/>
  </r>
  <r>
    <x v="0"/>
    <x v="26"/>
    <x v="0"/>
    <x v="0"/>
    <d v="2026-03-31T13:48:00"/>
    <d v="2026-03-31T19:04:00"/>
    <x v="0"/>
    <n v="15515"/>
    <s v="VISCOLYCRA VORTEX CARAMELO"/>
    <x v="0"/>
    <x v="1"/>
    <x v="3"/>
    <x v="14"/>
    <x v="13"/>
    <x v="14"/>
  </r>
  <r>
    <x v="6"/>
    <x v="27"/>
    <x v="1"/>
    <x v="5"/>
    <d v="2026-03-31T14:38:00"/>
    <d v="2026-03-31T18:06:00"/>
    <x v="11"/>
    <n v="25"/>
    <s v="M/M 24/1 14 TRAMAS BRANCO"/>
    <x v="1"/>
    <x v="3"/>
    <x v="2"/>
    <x v="3"/>
    <x v="3"/>
    <x v="3"/>
  </r>
  <r>
    <x v="6"/>
    <x v="28"/>
    <x v="1"/>
    <x v="5"/>
    <d v="2026-03-31T14:38:00"/>
    <d v="2026-03-31T18:06:00"/>
    <x v="11"/>
    <n v="25"/>
    <s v="M/M 24/1 14 TRAMAS BRANCO"/>
    <x v="1"/>
    <x v="3"/>
    <x v="2"/>
    <x v="3"/>
    <x v="3"/>
    <x v="3"/>
  </r>
  <r>
    <x v="0"/>
    <x v="29"/>
    <x v="1"/>
    <x v="8"/>
    <d v="2026-03-31T15:50:00"/>
    <d v="2026-03-31T17:59:00"/>
    <x v="10"/>
    <n v="249"/>
    <s v="RIBANA 2X1 24/1 PA MARFIM 1F"/>
    <x v="1"/>
    <x v="0"/>
    <x v="2"/>
    <x v="3"/>
    <x v="3"/>
    <x v="3"/>
  </r>
  <r>
    <x v="0"/>
    <x v="30"/>
    <x v="1"/>
    <x v="2"/>
    <d v="2026-03-31T16:04:00"/>
    <d v="2026-03-31T19:23:00"/>
    <x v="5"/>
    <n v="3695"/>
    <s v="POLIÉSTER FIADO VERDE BANDEIRA"/>
    <x v="0"/>
    <x v="2"/>
    <x v="2"/>
    <x v="3"/>
    <x v="3"/>
    <x v="3"/>
  </r>
  <r>
    <x v="0"/>
    <x v="31"/>
    <x v="0"/>
    <x v="7"/>
    <d v="2026-03-31T16:14:00"/>
    <d v="2026-03-31T19:48:00"/>
    <x v="3"/>
    <n v="2001"/>
    <s v="M/M 24/1 18 TRAMAS BRANCO (P) ESTAMPADO"/>
    <x v="0"/>
    <x v="1"/>
    <x v="3"/>
    <x v="15"/>
    <x v="7"/>
    <x v="15"/>
  </r>
  <r>
    <x v="0"/>
    <x v="32"/>
    <x v="0"/>
    <x v="3"/>
    <d v="2026-03-31T16:24:00"/>
    <d v="2026-03-31T19:25:00"/>
    <x v="3"/>
    <n v="10308"/>
    <s v="M/M 24/1 18 TRAMAS LILÁS CLARO (P) ESTAMPADO"/>
    <x v="0"/>
    <x v="1"/>
    <x v="3"/>
    <x v="16"/>
    <x v="8"/>
    <x v="16"/>
  </r>
  <r>
    <x v="0"/>
    <x v="33"/>
    <x v="0"/>
    <x v="4"/>
    <d v="2026-03-31T16:27:00"/>
    <d v="2026-03-31T19:45:00"/>
    <x v="4"/>
    <n v="208"/>
    <s v="M/M 30/1 PENTEADO BRANCO"/>
    <x v="0"/>
    <x v="1"/>
    <x v="3"/>
    <x v="17"/>
    <x v="14"/>
    <x v="17"/>
  </r>
  <r>
    <x v="7"/>
    <x v="34"/>
    <x v="0"/>
    <x v="1"/>
    <d v="2026-03-31T16:42:00"/>
    <d v="2026-03-31T22:53:00"/>
    <x v="4"/>
    <n v="1342"/>
    <s v="M/M 30/1 PENTEADO MARINHO"/>
    <x v="0"/>
    <x v="2"/>
    <x v="0"/>
    <x v="18"/>
    <x v="15"/>
    <x v="18"/>
  </r>
  <r>
    <x v="7"/>
    <x v="35"/>
    <x v="0"/>
    <x v="1"/>
    <d v="2026-03-31T16:42:00"/>
    <d v="2026-03-31T22:53:00"/>
    <x v="4"/>
    <n v="1342"/>
    <s v="M/M 30/1 PENTEADO MARINHO"/>
    <x v="0"/>
    <x v="2"/>
    <x v="0"/>
    <x v="18"/>
    <x v="15"/>
    <x v="18"/>
  </r>
  <r>
    <x v="0"/>
    <x v="36"/>
    <x v="0"/>
    <x v="9"/>
    <d v="2026-03-31T16:46:00"/>
    <d v="2026-03-31T19:41:00"/>
    <x v="12"/>
    <n v="2430"/>
    <s v="M/M 30/1 CARDADA OE ROSA CHICLETE"/>
    <x v="0"/>
    <x v="1"/>
    <x v="3"/>
    <x v="19"/>
    <x v="16"/>
    <x v="19"/>
  </r>
  <r>
    <x v="8"/>
    <x v="37"/>
    <x v="0"/>
    <x v="6"/>
    <d v="2026-03-31T17:20:00"/>
    <d v="2026-03-31T21:17:00"/>
    <x v="12"/>
    <n v="1807"/>
    <s v="M/M 30/1 CARDADA OE PRETO"/>
    <x v="1"/>
    <x v="3"/>
    <x v="3"/>
    <x v="20"/>
    <x v="8"/>
    <x v="20"/>
  </r>
  <r>
    <x v="8"/>
    <x v="38"/>
    <x v="0"/>
    <x v="6"/>
    <d v="2026-03-31T17:20:00"/>
    <d v="2026-03-31T21:17:00"/>
    <x v="4"/>
    <n v="1332"/>
    <s v="M/M 30/1 PENTEADO PRETO"/>
    <x v="1"/>
    <x v="3"/>
    <x v="3"/>
    <x v="20"/>
    <x v="8"/>
    <x v="20"/>
  </r>
  <r>
    <x v="8"/>
    <x v="39"/>
    <x v="0"/>
    <x v="6"/>
    <d v="2026-03-31T17:20:00"/>
    <d v="2026-03-31T21:17:00"/>
    <x v="12"/>
    <n v="1807"/>
    <s v="M/M 30/1 CARDADA OE PRETO"/>
    <x v="1"/>
    <x v="3"/>
    <x v="3"/>
    <x v="20"/>
    <x v="8"/>
    <x v="20"/>
  </r>
  <r>
    <x v="8"/>
    <x v="40"/>
    <x v="0"/>
    <x v="6"/>
    <d v="2026-03-31T17:20:00"/>
    <d v="2026-03-31T21:17:00"/>
    <x v="4"/>
    <n v="1332"/>
    <s v="M/M 30/1 PENTEADO PRETO"/>
    <x v="1"/>
    <x v="3"/>
    <x v="3"/>
    <x v="20"/>
    <x v="8"/>
    <x v="20"/>
  </r>
  <r>
    <x v="8"/>
    <x v="41"/>
    <x v="0"/>
    <x v="6"/>
    <d v="2026-03-31T17:20:00"/>
    <d v="2026-03-31T21:17:00"/>
    <x v="4"/>
    <n v="1332"/>
    <s v="M/M 30/1 PENTEADO PRETO"/>
    <x v="1"/>
    <x v="3"/>
    <x v="3"/>
    <x v="20"/>
    <x v="8"/>
    <x v="20"/>
  </r>
  <r>
    <x v="8"/>
    <x v="42"/>
    <x v="0"/>
    <x v="6"/>
    <d v="2026-03-31T17:20:00"/>
    <d v="2026-03-31T21:17:00"/>
    <x v="12"/>
    <n v="1807"/>
    <s v="M/M 30/1 CARDADA OE PRETO"/>
    <x v="1"/>
    <x v="3"/>
    <x v="3"/>
    <x v="20"/>
    <x v="8"/>
    <x v="20"/>
  </r>
  <r>
    <x v="8"/>
    <x v="43"/>
    <x v="0"/>
    <x v="6"/>
    <d v="2026-03-31T17:20:00"/>
    <d v="2026-03-31T21:17:00"/>
    <x v="4"/>
    <n v="1332"/>
    <s v="M/M 30/1 PENTEADO PRETO"/>
    <x v="1"/>
    <x v="3"/>
    <x v="3"/>
    <x v="20"/>
    <x v="8"/>
    <x v="20"/>
  </r>
  <r>
    <x v="8"/>
    <x v="44"/>
    <x v="0"/>
    <x v="6"/>
    <d v="2026-03-31T17:20:00"/>
    <d v="2026-03-31T21:17:00"/>
    <x v="4"/>
    <n v="1332"/>
    <s v="M/M 30/1 PENTEADO PRETO"/>
    <x v="1"/>
    <x v="3"/>
    <x v="3"/>
    <x v="20"/>
    <x v="8"/>
    <x v="20"/>
  </r>
  <r>
    <x v="8"/>
    <x v="45"/>
    <x v="0"/>
    <x v="6"/>
    <d v="2026-03-31T17:20:00"/>
    <d v="2026-03-31T21:17:00"/>
    <x v="4"/>
    <n v="1332"/>
    <s v="M/M 30/1 PENTEADO PRETO"/>
    <x v="1"/>
    <x v="3"/>
    <x v="3"/>
    <x v="20"/>
    <x v="8"/>
    <x v="20"/>
  </r>
  <r>
    <x v="8"/>
    <x v="46"/>
    <x v="0"/>
    <x v="6"/>
    <d v="2026-03-31T17:20:00"/>
    <d v="2026-03-31T21:17:00"/>
    <x v="4"/>
    <n v="1332"/>
    <s v="M/M 30/1 PENTEADO PRETO"/>
    <x v="1"/>
    <x v="3"/>
    <x v="3"/>
    <x v="20"/>
    <x v="8"/>
    <x v="20"/>
  </r>
  <r>
    <x v="8"/>
    <x v="47"/>
    <x v="0"/>
    <x v="6"/>
    <d v="2026-03-31T17:20:00"/>
    <d v="2026-03-31T21:17:00"/>
    <x v="12"/>
    <n v="1807"/>
    <s v="M/M 30/1 CARDADA OE PRETO"/>
    <x v="1"/>
    <x v="3"/>
    <x v="3"/>
    <x v="20"/>
    <x v="8"/>
    <x v="20"/>
  </r>
  <r>
    <x v="8"/>
    <x v="48"/>
    <x v="0"/>
    <x v="6"/>
    <d v="2026-03-31T17:20:00"/>
    <d v="2026-03-31T21:17:00"/>
    <x v="4"/>
    <n v="1332"/>
    <s v="M/M 30/1 PENTEADO PRETO"/>
    <x v="1"/>
    <x v="3"/>
    <x v="3"/>
    <x v="20"/>
    <x v="8"/>
    <x v="20"/>
  </r>
  <r>
    <x v="8"/>
    <x v="49"/>
    <x v="0"/>
    <x v="6"/>
    <d v="2026-03-31T17:20:00"/>
    <d v="2026-03-31T21:17:00"/>
    <x v="12"/>
    <n v="1807"/>
    <s v="M/M 30/1 CARDADA OE PRETO"/>
    <x v="1"/>
    <x v="3"/>
    <x v="3"/>
    <x v="20"/>
    <x v="8"/>
    <x v="20"/>
  </r>
  <r>
    <x v="8"/>
    <x v="50"/>
    <x v="0"/>
    <x v="6"/>
    <d v="2026-03-31T17:20:00"/>
    <d v="2026-03-31T21:17:00"/>
    <x v="12"/>
    <n v="1807"/>
    <s v="M/M 30/1 CARDADA OE PRETO"/>
    <x v="1"/>
    <x v="3"/>
    <x v="3"/>
    <x v="20"/>
    <x v="8"/>
    <x v="20"/>
  </r>
  <r>
    <x v="8"/>
    <x v="51"/>
    <x v="0"/>
    <x v="6"/>
    <d v="2026-03-31T17:20:00"/>
    <d v="2026-03-31T21:17:00"/>
    <x v="4"/>
    <n v="1332"/>
    <s v="M/M 30/1 PENTEADO PRETO"/>
    <x v="1"/>
    <x v="3"/>
    <x v="3"/>
    <x v="20"/>
    <x v="8"/>
    <x v="20"/>
  </r>
  <r>
    <x v="8"/>
    <x v="52"/>
    <x v="0"/>
    <x v="6"/>
    <d v="2026-03-31T17:20:00"/>
    <d v="2026-03-31T21:17:00"/>
    <x v="4"/>
    <n v="1332"/>
    <s v="M/M 30/1 PENTEADO PRETO"/>
    <x v="1"/>
    <x v="3"/>
    <x v="3"/>
    <x v="20"/>
    <x v="8"/>
    <x v="20"/>
  </r>
  <r>
    <x v="8"/>
    <x v="53"/>
    <x v="0"/>
    <x v="6"/>
    <d v="2026-03-31T17:20:00"/>
    <d v="2026-03-31T21:17:00"/>
    <x v="4"/>
    <n v="1332"/>
    <s v="M/M 30/1 PENTEADO PRETO"/>
    <x v="1"/>
    <x v="3"/>
    <x v="3"/>
    <x v="20"/>
    <x v="8"/>
    <x v="20"/>
  </r>
  <r>
    <x v="8"/>
    <x v="54"/>
    <x v="0"/>
    <x v="6"/>
    <d v="2026-03-31T17:20:00"/>
    <d v="2026-03-31T21:17:00"/>
    <x v="4"/>
    <n v="1332"/>
    <s v="M/M 30/1 PENTEADO PRETO"/>
    <x v="1"/>
    <x v="3"/>
    <x v="3"/>
    <x v="20"/>
    <x v="8"/>
    <x v="20"/>
  </r>
  <r>
    <x v="8"/>
    <x v="55"/>
    <x v="0"/>
    <x v="6"/>
    <d v="2026-03-31T17:20:00"/>
    <d v="2026-03-31T21:17:00"/>
    <x v="4"/>
    <n v="1332"/>
    <s v="M/M 30/1 PENTEADO PRETO"/>
    <x v="1"/>
    <x v="3"/>
    <x v="3"/>
    <x v="20"/>
    <x v="8"/>
    <x v="20"/>
  </r>
  <r>
    <x v="0"/>
    <x v="56"/>
    <x v="1"/>
    <x v="8"/>
    <d v="2026-03-31T18:00:00"/>
    <d v="2026-03-31T21:24:00"/>
    <x v="0"/>
    <n v="14951"/>
    <s v="VISCOLYCRA VORTEX AZUL BEBÊ"/>
    <x v="1"/>
    <x v="3"/>
    <x v="2"/>
    <x v="3"/>
    <x v="3"/>
    <x v="3"/>
  </r>
  <r>
    <x v="9"/>
    <x v="57"/>
    <x v="0"/>
    <x v="5"/>
    <d v="2026-03-31T18:07:00"/>
    <d v="2026-03-31T19:43:00"/>
    <x v="5"/>
    <n v="1825"/>
    <s v="POLIÉSTER FIADO BRANCO"/>
    <x v="0"/>
    <x v="1"/>
    <x v="3"/>
    <x v="21"/>
    <x v="11"/>
    <x v="21"/>
  </r>
  <r>
    <x v="9"/>
    <x v="58"/>
    <x v="0"/>
    <x v="5"/>
    <d v="2026-03-31T18:07:00"/>
    <d v="2026-03-31T19:43:00"/>
    <x v="5"/>
    <n v="1825"/>
    <s v="POLIÉSTER FIADO BRANCO"/>
    <x v="0"/>
    <x v="1"/>
    <x v="3"/>
    <x v="21"/>
    <x v="11"/>
    <x v="21"/>
  </r>
  <r>
    <x v="0"/>
    <x v="59"/>
    <x v="0"/>
    <x v="0"/>
    <d v="2026-03-31T19:05:00"/>
    <d v="2026-03-31T23:00:00"/>
    <x v="13"/>
    <n v="1051"/>
    <s v="HELANQUINHA DRY FIT AMARELO CANÁRIO"/>
    <x v="1"/>
    <x v="0"/>
    <x v="3"/>
    <x v="22"/>
    <x v="9"/>
    <x v="22"/>
  </r>
  <r>
    <x v="0"/>
    <x v="60"/>
    <x v="0"/>
    <x v="10"/>
    <d v="2026-03-31T19:17:00"/>
    <d v="2026-04-01T00:25:00"/>
    <x v="14"/>
    <n v="947"/>
    <s v="COTTON 6% OE RAMADO PRETO"/>
    <x v="0"/>
    <x v="1"/>
    <x v="3"/>
    <x v="23"/>
    <x v="17"/>
    <x v="23"/>
  </r>
  <r>
    <x v="0"/>
    <x v="61"/>
    <x v="1"/>
    <x v="2"/>
    <d v="2026-03-31T19:24:00"/>
    <d v="2026-03-31T22:43:00"/>
    <x v="5"/>
    <n v="3695"/>
    <s v="POLIÉSTER FIADO VERDE BANDEIRA"/>
    <x v="1"/>
    <x v="0"/>
    <x v="2"/>
    <x v="3"/>
    <x v="3"/>
    <x v="3"/>
  </r>
  <r>
    <x v="0"/>
    <x v="62"/>
    <x v="1"/>
    <x v="3"/>
    <d v="2026-03-31T19:26:00"/>
    <d v="2026-03-31T22:21:00"/>
    <x v="3"/>
    <n v="3395"/>
    <s v="M/M 24/1 18 TRAMAS ROSA BEBÊ (P) ESTAMPADO"/>
    <x v="1"/>
    <x v="3"/>
    <x v="2"/>
    <x v="3"/>
    <x v="3"/>
    <x v="3"/>
  </r>
  <r>
    <x v="0"/>
    <x v="63"/>
    <x v="1"/>
    <x v="9"/>
    <d v="2026-03-31T19:42:00"/>
    <d v="2026-03-31T22:42:00"/>
    <x v="12"/>
    <n v="2429"/>
    <s v="M/M 30/1 CARDADA OE ROSA BEBÊ"/>
    <x v="1"/>
    <x v="3"/>
    <x v="2"/>
    <x v="3"/>
    <x v="3"/>
    <x v="3"/>
  </r>
  <r>
    <x v="10"/>
    <x v="64"/>
    <x v="0"/>
    <x v="5"/>
    <d v="2026-03-31T19:44:00"/>
    <d v="2026-03-31T21:20:00"/>
    <x v="5"/>
    <n v="1825"/>
    <s v="POLIÉSTER FIADO BRANCO"/>
    <x v="0"/>
    <x v="1"/>
    <x v="3"/>
    <x v="24"/>
    <x v="11"/>
    <x v="24"/>
  </r>
  <r>
    <x v="10"/>
    <x v="65"/>
    <x v="0"/>
    <x v="5"/>
    <d v="2026-03-31T19:44:00"/>
    <d v="2026-03-31T21:20:00"/>
    <x v="5"/>
    <n v="1825"/>
    <s v="POLIÉSTER FIADO BRANCO"/>
    <x v="0"/>
    <x v="1"/>
    <x v="3"/>
    <x v="24"/>
    <x v="11"/>
    <x v="24"/>
  </r>
  <r>
    <x v="0"/>
    <x v="66"/>
    <x v="1"/>
    <x v="4"/>
    <d v="2026-03-31T19:46:00"/>
    <d v="2026-03-31T23:04:00"/>
    <x v="4"/>
    <n v="208"/>
    <s v="M/M 30/1 PENTEADO BRANCO"/>
    <x v="1"/>
    <x v="3"/>
    <x v="2"/>
    <x v="3"/>
    <x v="3"/>
    <x v="3"/>
  </r>
  <r>
    <x v="0"/>
    <x v="67"/>
    <x v="0"/>
    <x v="7"/>
    <d v="2026-03-31T19:49:00"/>
    <d v="2026-03-31T23:23:00"/>
    <x v="3"/>
    <n v="2001"/>
    <s v="M/M 24/1 18 TRAMAS BRANCO (P) ESTAMPADO"/>
    <x v="0"/>
    <x v="1"/>
    <x v="3"/>
    <x v="25"/>
    <x v="7"/>
    <x v="25"/>
  </r>
  <r>
    <x v="11"/>
    <x v="68"/>
    <x v="1"/>
    <x v="6"/>
    <d v="2026-03-31T21:18:00"/>
    <d v="2026-04-01T03:01:00"/>
    <x v="1"/>
    <n v="1334"/>
    <s v="M/M 30/1 PV PRETO"/>
    <x v="1"/>
    <x v="3"/>
    <x v="2"/>
    <x v="3"/>
    <x v="3"/>
    <x v="3"/>
  </r>
  <r>
    <x v="11"/>
    <x v="69"/>
    <x v="1"/>
    <x v="6"/>
    <d v="2026-03-31T21:18:00"/>
    <d v="2026-04-01T03:01:00"/>
    <x v="1"/>
    <n v="1334"/>
    <s v="M/M 30/1 PV PRETO"/>
    <x v="1"/>
    <x v="3"/>
    <x v="2"/>
    <x v="3"/>
    <x v="3"/>
    <x v="3"/>
  </r>
  <r>
    <x v="11"/>
    <x v="70"/>
    <x v="1"/>
    <x v="6"/>
    <d v="2026-03-31T21:18:00"/>
    <d v="2026-04-01T03:01:00"/>
    <x v="1"/>
    <n v="1334"/>
    <s v="M/M 30/1 PV PRETO"/>
    <x v="1"/>
    <x v="3"/>
    <x v="2"/>
    <x v="3"/>
    <x v="3"/>
    <x v="3"/>
  </r>
  <r>
    <x v="11"/>
    <x v="71"/>
    <x v="1"/>
    <x v="6"/>
    <d v="2026-03-31T21:18:00"/>
    <d v="2026-04-01T03:01:00"/>
    <x v="1"/>
    <n v="1334"/>
    <s v="M/M 30/1 PV PRETO"/>
    <x v="1"/>
    <x v="3"/>
    <x v="2"/>
    <x v="3"/>
    <x v="3"/>
    <x v="3"/>
  </r>
  <r>
    <x v="11"/>
    <x v="72"/>
    <x v="1"/>
    <x v="6"/>
    <d v="2026-03-31T21:18:00"/>
    <d v="2026-04-01T03:01:00"/>
    <x v="1"/>
    <n v="1334"/>
    <s v="M/M 30/1 PV PRETO"/>
    <x v="1"/>
    <x v="3"/>
    <x v="2"/>
    <x v="3"/>
    <x v="3"/>
    <x v="3"/>
  </r>
  <r>
    <x v="12"/>
    <x v="73"/>
    <x v="0"/>
    <x v="5"/>
    <d v="2026-03-31T21:21:00"/>
    <d v="2026-03-31T22:57:00"/>
    <x v="5"/>
    <n v="1825"/>
    <s v="POLIÉSTER FIADO BRANCO"/>
    <x v="1"/>
    <x v="3"/>
    <x v="3"/>
    <x v="26"/>
    <x v="11"/>
    <x v="26"/>
  </r>
  <r>
    <x v="12"/>
    <x v="74"/>
    <x v="0"/>
    <x v="5"/>
    <d v="2026-03-31T21:21:00"/>
    <d v="2026-03-31T22:57:00"/>
    <x v="5"/>
    <n v="1825"/>
    <s v="POLIÉSTER FIADO BRANCO"/>
    <x v="1"/>
    <x v="3"/>
    <x v="3"/>
    <x v="26"/>
    <x v="11"/>
    <x v="26"/>
  </r>
  <r>
    <x v="0"/>
    <x v="75"/>
    <x v="1"/>
    <x v="8"/>
    <d v="2026-03-31T21:25:00"/>
    <d v="2026-04-01T02:28:00"/>
    <x v="0"/>
    <n v="15517"/>
    <s v="VISCOLYCRA VORTEX FERRUGEM CLARO"/>
    <x v="1"/>
    <x v="3"/>
    <x v="2"/>
    <x v="3"/>
    <x v="3"/>
    <x v="3"/>
  </r>
  <r>
    <x v="0"/>
    <x v="76"/>
    <x v="1"/>
    <x v="3"/>
    <d v="2026-03-31T22:22:00"/>
    <d v="2026-04-01T04:23:00"/>
    <x v="4"/>
    <n v="1472"/>
    <s v="M/M 30/1 PENTEADO VINHO"/>
    <x v="1"/>
    <x v="3"/>
    <x v="2"/>
    <x v="3"/>
    <x v="3"/>
    <x v="3"/>
  </r>
  <r>
    <x v="0"/>
    <x v="77"/>
    <x v="1"/>
    <x v="9"/>
    <d v="2026-03-31T22:43:00"/>
    <d v="2026-04-01T01:44:00"/>
    <x v="12"/>
    <n v="2428"/>
    <s v="M/M 30/1 CARDADA OE CINZA CLARO"/>
    <x v="1"/>
    <x v="0"/>
    <x v="2"/>
    <x v="3"/>
    <x v="3"/>
    <x v="3"/>
  </r>
  <r>
    <x v="0"/>
    <x v="78"/>
    <x v="1"/>
    <x v="2"/>
    <d v="2026-03-31T22:44:00"/>
    <d v="2026-04-01T02:03:00"/>
    <x v="5"/>
    <n v="3483"/>
    <s v="POLIÉSTER FIADO VERDE ESPECIAL"/>
    <x v="1"/>
    <x v="3"/>
    <x v="2"/>
    <x v="3"/>
    <x v="3"/>
    <x v="3"/>
  </r>
  <r>
    <x v="13"/>
    <x v="79"/>
    <x v="1"/>
    <x v="1"/>
    <d v="2026-03-31T22:54:00"/>
    <d v="2026-04-01T05:05:00"/>
    <x v="4"/>
    <n v="1352"/>
    <s v="M/M 30/1 PENTEADO CHUMBO"/>
    <x v="1"/>
    <x v="3"/>
    <x v="2"/>
    <x v="3"/>
    <x v="3"/>
    <x v="3"/>
  </r>
  <r>
    <x v="13"/>
    <x v="80"/>
    <x v="1"/>
    <x v="1"/>
    <d v="2026-03-31T22:54:00"/>
    <d v="2026-04-01T05:05:00"/>
    <x v="4"/>
    <n v="1352"/>
    <s v="M/M 30/1 PENTEADO CHUMBO"/>
    <x v="1"/>
    <x v="3"/>
    <x v="2"/>
    <x v="3"/>
    <x v="3"/>
    <x v="3"/>
  </r>
  <r>
    <x v="14"/>
    <x v="81"/>
    <x v="1"/>
    <x v="5"/>
    <d v="2026-03-31T22:58:00"/>
    <d v="2026-04-01T00:34:00"/>
    <x v="5"/>
    <n v="1825"/>
    <s v="POLIÉSTER FIADO BRANCO"/>
    <x v="1"/>
    <x v="3"/>
    <x v="2"/>
    <x v="3"/>
    <x v="3"/>
    <x v="3"/>
  </r>
  <r>
    <x v="14"/>
    <x v="82"/>
    <x v="1"/>
    <x v="5"/>
    <d v="2026-03-31T22:58:00"/>
    <d v="2026-04-01T00:34:00"/>
    <x v="5"/>
    <n v="1825"/>
    <s v="POLIÉSTER FIADO BRANCO"/>
    <x v="1"/>
    <x v="3"/>
    <x v="2"/>
    <x v="3"/>
    <x v="3"/>
    <x v="3"/>
  </r>
  <r>
    <x v="0"/>
    <x v="83"/>
    <x v="1"/>
    <x v="0"/>
    <d v="2026-03-31T23:01:00"/>
    <d v="2026-04-01T02:44:00"/>
    <x v="7"/>
    <n v="1584"/>
    <s v="SUPLEX ESPECIAL AMARELO OURO"/>
    <x v="1"/>
    <x v="3"/>
    <x v="2"/>
    <x v="3"/>
    <x v="3"/>
    <x v="3"/>
  </r>
  <r>
    <x v="0"/>
    <x v="84"/>
    <x v="1"/>
    <x v="4"/>
    <d v="2026-03-31T23:05:00"/>
    <d v="2026-04-01T02:23:00"/>
    <x v="4"/>
    <n v="208"/>
    <s v="M/M 30/1 PENTEADO BRANCO"/>
    <x v="1"/>
    <x v="3"/>
    <x v="2"/>
    <x v="3"/>
    <x v="3"/>
    <x v="3"/>
  </r>
  <r>
    <x v="0"/>
    <x v="85"/>
    <x v="1"/>
    <x v="7"/>
    <d v="2026-03-31T23:24:00"/>
    <d v="2026-04-01T02:58:00"/>
    <x v="3"/>
    <n v="2001"/>
    <s v="M/M 24/1 18 TRAMAS BRANCO (P) ESTAMPADO"/>
    <x v="1"/>
    <x v="3"/>
    <x v="2"/>
    <x v="3"/>
    <x v="3"/>
    <x v="3"/>
  </r>
  <r>
    <x v="15"/>
    <x v="86"/>
    <x v="0"/>
    <x v="10"/>
    <d v="2026-04-01T00:26:00"/>
    <d v="2026-04-01T04:06:00"/>
    <x v="5"/>
    <n v="2599"/>
    <s v="POLIÉSTER FIADO PRETO"/>
    <x v="1"/>
    <x v="3"/>
    <x v="3"/>
    <x v="27"/>
    <x v="10"/>
    <x v="27"/>
  </r>
  <r>
    <x v="15"/>
    <x v="87"/>
    <x v="0"/>
    <x v="10"/>
    <d v="2026-04-01T00:26:00"/>
    <d v="2026-04-01T04:06:00"/>
    <x v="5"/>
    <n v="2599"/>
    <s v="POLIÉSTER FIADO PRETO"/>
    <x v="1"/>
    <x v="3"/>
    <x v="3"/>
    <x v="27"/>
    <x v="10"/>
    <x v="27"/>
  </r>
  <r>
    <x v="15"/>
    <x v="88"/>
    <x v="0"/>
    <x v="10"/>
    <d v="2026-04-01T00:26:00"/>
    <d v="2026-04-01T04:06:00"/>
    <x v="5"/>
    <n v="2599"/>
    <s v="POLIÉSTER FIADO PRETO"/>
    <x v="1"/>
    <x v="3"/>
    <x v="3"/>
    <x v="27"/>
    <x v="10"/>
    <x v="27"/>
  </r>
  <r>
    <x v="15"/>
    <x v="89"/>
    <x v="0"/>
    <x v="10"/>
    <d v="2026-04-01T00:26:00"/>
    <d v="2026-04-01T04:06:00"/>
    <x v="15"/>
    <n v="1839"/>
    <s v="HELANCA 100%PES PRETO"/>
    <x v="1"/>
    <x v="3"/>
    <x v="3"/>
    <x v="27"/>
    <x v="10"/>
    <x v="27"/>
  </r>
  <r>
    <x v="15"/>
    <x v="90"/>
    <x v="0"/>
    <x v="10"/>
    <d v="2026-04-01T00:26:00"/>
    <d v="2026-04-01T04:06:00"/>
    <x v="5"/>
    <n v="2599"/>
    <s v="POLIÉSTER FIADO PRETO"/>
    <x v="1"/>
    <x v="3"/>
    <x v="3"/>
    <x v="27"/>
    <x v="10"/>
    <x v="27"/>
  </r>
  <r>
    <x v="15"/>
    <x v="91"/>
    <x v="0"/>
    <x v="10"/>
    <d v="2026-04-01T00:26:00"/>
    <d v="2026-04-01T04:06:00"/>
    <x v="5"/>
    <n v="2599"/>
    <s v="POLIÉSTER FIADO PRETO"/>
    <x v="1"/>
    <x v="3"/>
    <x v="3"/>
    <x v="27"/>
    <x v="10"/>
    <x v="27"/>
  </r>
  <r>
    <x v="15"/>
    <x v="92"/>
    <x v="0"/>
    <x v="10"/>
    <d v="2026-04-01T00:26:00"/>
    <d v="2026-04-01T04:06:00"/>
    <x v="5"/>
    <n v="2599"/>
    <s v="POLIÉSTER FIADO PRETO"/>
    <x v="1"/>
    <x v="3"/>
    <x v="3"/>
    <x v="27"/>
    <x v="10"/>
    <x v="27"/>
  </r>
  <r>
    <x v="15"/>
    <x v="93"/>
    <x v="0"/>
    <x v="10"/>
    <d v="2026-04-01T00:26:00"/>
    <d v="2026-04-01T04:06:00"/>
    <x v="5"/>
    <n v="2599"/>
    <s v="POLIÉSTER FIADO PRETO"/>
    <x v="1"/>
    <x v="3"/>
    <x v="3"/>
    <x v="27"/>
    <x v="10"/>
    <x v="27"/>
  </r>
  <r>
    <x v="15"/>
    <x v="94"/>
    <x v="0"/>
    <x v="10"/>
    <d v="2026-04-01T00:26:00"/>
    <d v="2026-04-01T04:06:00"/>
    <x v="5"/>
    <n v="2599"/>
    <s v="POLIÉSTER FIADO PRETO"/>
    <x v="1"/>
    <x v="3"/>
    <x v="3"/>
    <x v="27"/>
    <x v="10"/>
    <x v="27"/>
  </r>
  <r>
    <x v="15"/>
    <x v="95"/>
    <x v="0"/>
    <x v="10"/>
    <d v="2026-04-01T00:26:00"/>
    <d v="2026-04-01T04:06:00"/>
    <x v="5"/>
    <n v="2599"/>
    <s v="POLIÉSTER FIADO PRETO"/>
    <x v="1"/>
    <x v="3"/>
    <x v="3"/>
    <x v="27"/>
    <x v="10"/>
    <x v="27"/>
  </r>
  <r>
    <x v="15"/>
    <x v="96"/>
    <x v="0"/>
    <x v="10"/>
    <d v="2026-04-01T00:26:00"/>
    <d v="2026-04-01T04:06:00"/>
    <x v="5"/>
    <n v="2599"/>
    <s v="POLIÉSTER FIADO PRETO"/>
    <x v="1"/>
    <x v="3"/>
    <x v="3"/>
    <x v="27"/>
    <x v="10"/>
    <x v="27"/>
  </r>
  <r>
    <x v="15"/>
    <x v="97"/>
    <x v="0"/>
    <x v="10"/>
    <d v="2026-04-01T00:26:00"/>
    <d v="2026-04-01T04:06:00"/>
    <x v="5"/>
    <n v="2599"/>
    <s v="POLIÉSTER FIADO PRETO"/>
    <x v="1"/>
    <x v="3"/>
    <x v="3"/>
    <x v="27"/>
    <x v="10"/>
    <x v="27"/>
  </r>
  <r>
    <x v="15"/>
    <x v="98"/>
    <x v="0"/>
    <x v="10"/>
    <d v="2026-04-01T00:26:00"/>
    <d v="2026-04-01T04:06:00"/>
    <x v="5"/>
    <n v="2599"/>
    <s v="POLIÉSTER FIADO PRETO"/>
    <x v="1"/>
    <x v="3"/>
    <x v="3"/>
    <x v="27"/>
    <x v="10"/>
    <x v="27"/>
  </r>
  <r>
    <x v="15"/>
    <x v="99"/>
    <x v="0"/>
    <x v="10"/>
    <d v="2026-04-01T00:26:00"/>
    <d v="2026-04-01T04:06:00"/>
    <x v="5"/>
    <n v="2599"/>
    <s v="POLIÉSTER FIADO PRETO"/>
    <x v="1"/>
    <x v="3"/>
    <x v="3"/>
    <x v="27"/>
    <x v="10"/>
    <x v="27"/>
  </r>
  <r>
    <x v="15"/>
    <x v="100"/>
    <x v="0"/>
    <x v="10"/>
    <d v="2026-04-01T00:26:00"/>
    <d v="2026-04-01T04:06:00"/>
    <x v="5"/>
    <n v="2599"/>
    <s v="POLIÉSTER FIADO PRETO"/>
    <x v="1"/>
    <x v="3"/>
    <x v="3"/>
    <x v="27"/>
    <x v="10"/>
    <x v="27"/>
  </r>
  <r>
    <x v="16"/>
    <x v="101"/>
    <x v="1"/>
    <x v="5"/>
    <d v="2026-04-01T00:35:00"/>
    <d v="2026-04-01T02:11:00"/>
    <x v="5"/>
    <n v="1825"/>
    <s v="POLIÉSTER FIADO BRANCO"/>
    <x v="1"/>
    <x v="3"/>
    <x v="2"/>
    <x v="3"/>
    <x v="3"/>
    <x v="3"/>
  </r>
  <r>
    <x v="16"/>
    <x v="102"/>
    <x v="1"/>
    <x v="5"/>
    <d v="2026-04-01T00:35:00"/>
    <d v="2026-04-01T02:11:00"/>
    <x v="5"/>
    <n v="1825"/>
    <s v="POLIÉSTER FIADO BRANCO"/>
    <x v="1"/>
    <x v="3"/>
    <x v="2"/>
    <x v="3"/>
    <x v="3"/>
    <x v="3"/>
  </r>
  <r>
    <x v="0"/>
    <x v="103"/>
    <x v="1"/>
    <x v="9"/>
    <d v="2026-04-01T01:45:00"/>
    <d v="2026-04-01T04:45:00"/>
    <x v="12"/>
    <n v="2853"/>
    <s v="M/M 30/1 CARDADA OE AZUL BEBÊ"/>
    <x v="1"/>
    <x v="3"/>
    <x v="2"/>
    <x v="3"/>
    <x v="3"/>
    <x v="3"/>
  </r>
  <r>
    <x v="0"/>
    <x v="104"/>
    <x v="1"/>
    <x v="2"/>
    <d v="2026-04-01T02:04:00"/>
    <d v="2026-04-01T08:23:00"/>
    <x v="16"/>
    <n v="14566"/>
    <s v="MOLETOM PA TUBULAR VINHO"/>
    <x v="1"/>
    <x v="3"/>
    <x v="2"/>
    <x v="3"/>
    <x v="3"/>
    <x v="3"/>
  </r>
  <r>
    <x v="17"/>
    <x v="105"/>
    <x v="1"/>
    <x v="6"/>
    <d v="2026-04-01T03:02:00"/>
    <d v="2026-04-01T08:49:00"/>
    <x v="17"/>
    <n v="955"/>
    <s v="POLIAMIDA LIGHT PRETO"/>
    <x v="1"/>
    <x v="3"/>
    <x v="2"/>
    <x v="3"/>
    <x v="3"/>
    <x v="3"/>
  </r>
  <r>
    <x v="17"/>
    <x v="106"/>
    <x v="1"/>
    <x v="6"/>
    <d v="2026-04-01T03:02:00"/>
    <d v="2026-04-01T08:49:00"/>
    <x v="17"/>
    <n v="955"/>
    <s v="POLIAMIDA LIGHT PRETO"/>
    <x v="1"/>
    <x v="3"/>
    <x v="2"/>
    <x v="3"/>
    <x v="3"/>
    <x v="3"/>
  </r>
  <r>
    <x v="0"/>
    <x v="107"/>
    <x v="1"/>
    <x v="10"/>
    <d v="2026-04-01T04:07:00"/>
    <d v="2026-04-01T08:04:00"/>
    <x v="6"/>
    <n v="1841"/>
    <s v="HELANCA SUEDINE 100%CO PRETO"/>
    <x v="1"/>
    <x v="3"/>
    <x v="2"/>
    <x v="3"/>
    <x v="3"/>
    <x v="3"/>
  </r>
  <r>
    <x v="0"/>
    <x v="108"/>
    <x v="0"/>
    <x v="9"/>
    <d v="2026-04-01T16:52:00"/>
    <d v="2026-04-01T20:14:00"/>
    <x v="18"/>
    <n v="230"/>
    <s v="SUPLEX LIGHT UV 50+ BRANCO"/>
    <x v="1"/>
    <x v="3"/>
    <x v="4"/>
    <x v="28"/>
    <x v="18"/>
    <x v="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EAF911-904C-4179-8DA0-48690435EAF4}" name="AnalisePorMaquina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rowHeaderCaption="Máq./Grupo/Nº OB" fieldListSortAscending="1">
  <location ref="A3:B62" firstHeaderRow="1" firstDataRow="1" firstDataCol="1" rowPageCount="1" colPageCount="1"/>
  <pivotFields count="15">
    <pivotField axis="axisRow" showAll="0" defaultSubtotal="0">
      <items count="18">
        <item x="0"/>
        <item x="2"/>
        <item x="4"/>
        <item x="1"/>
        <item x="9"/>
        <item x="10"/>
        <item x="12"/>
        <item x="14"/>
        <item x="16"/>
        <item x="7"/>
        <item x="13"/>
        <item x="3"/>
        <item x="5"/>
        <item x="6"/>
        <item x="8"/>
        <item x="11"/>
        <item x="15"/>
        <item x="17"/>
      </items>
    </pivotField>
    <pivotField axis="axisRow" showAll="0" sortType="ascending" defaultSubtotal="0">
      <items count="109">
        <item x="108"/>
        <item x="7"/>
        <item x="6"/>
        <item x="4"/>
        <item x="14"/>
        <item x="36"/>
        <item x="63"/>
        <item x="77"/>
        <item x="104"/>
        <item x="103"/>
        <item x="16"/>
        <item x="15"/>
        <item x="2"/>
        <item x="1"/>
        <item x="57"/>
        <item x="58"/>
        <item x="64"/>
        <item x="65"/>
        <item x="0"/>
        <item x="12"/>
        <item x="73"/>
        <item x="74"/>
        <item x="81"/>
        <item x="82"/>
        <item x="29"/>
        <item x="32"/>
        <item x="5"/>
        <item x="102"/>
        <item x="101"/>
        <item x="35"/>
        <item x="34"/>
        <item x="13"/>
        <item x="26"/>
        <item x="62"/>
        <item x="76"/>
        <item x="80"/>
        <item x="79"/>
        <item x="3"/>
        <item x="9"/>
        <item x="10"/>
        <item x="8"/>
        <item x="11"/>
        <item x="24"/>
        <item x="23"/>
        <item x="22"/>
        <item x="21"/>
        <item x="25"/>
        <item x="18"/>
        <item x="19"/>
        <item x="20"/>
        <item x="17"/>
        <item x="27"/>
        <item x="28"/>
        <item x="30"/>
        <item x="31"/>
        <item x="33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60"/>
        <item x="59"/>
        <item x="61"/>
        <item x="66"/>
        <item x="67"/>
        <item x="68"/>
        <item x="69"/>
        <item x="70"/>
        <item x="71"/>
        <item x="72"/>
        <item x="75"/>
        <item x="78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5"/>
        <item x="106"/>
        <item x="10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 defaultSubtotal="0">
      <items count="2">
        <item x="1"/>
        <item h="1" x="0"/>
      </items>
    </pivotField>
    <pivotField axis="axisRow" showAll="0" defaultSubtotal="0">
      <items count="11">
        <item x="10"/>
        <item x="4"/>
        <item x="3"/>
        <item x="9"/>
        <item x="2"/>
        <item x="8"/>
        <item x="6"/>
        <item x="0"/>
        <item x="1"/>
        <item x="7"/>
        <item x="5"/>
      </items>
    </pivotField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3">
    <field x="3"/>
    <field x="0"/>
    <field x="1"/>
  </rowFields>
  <rowItems count="59">
    <i>
      <x/>
    </i>
    <i r="1">
      <x/>
    </i>
    <i r="2">
      <x v="108"/>
    </i>
    <i>
      <x v="1"/>
    </i>
    <i r="1">
      <x/>
    </i>
    <i r="2">
      <x v="79"/>
    </i>
    <i r="2">
      <x v="89"/>
    </i>
    <i>
      <x v="2"/>
    </i>
    <i r="1">
      <x/>
    </i>
    <i r="2">
      <x v="3"/>
    </i>
    <i r="2">
      <x v="33"/>
    </i>
    <i r="2">
      <x v="34"/>
    </i>
    <i>
      <x v="3"/>
    </i>
    <i r="1">
      <x/>
    </i>
    <i r="2">
      <x v="6"/>
    </i>
    <i r="2">
      <x v="7"/>
    </i>
    <i r="2">
      <x v="9"/>
    </i>
    <i>
      <x v="4"/>
    </i>
    <i r="1">
      <x/>
    </i>
    <i r="2">
      <x v="53"/>
    </i>
    <i r="2">
      <x v="78"/>
    </i>
    <i r="2">
      <x v="87"/>
    </i>
    <i r="2">
      <x v="8"/>
    </i>
    <i>
      <x v="5"/>
    </i>
    <i r="1">
      <x/>
    </i>
    <i r="2">
      <x v="24"/>
    </i>
    <i r="2">
      <x v="75"/>
    </i>
    <i r="2">
      <x v="86"/>
    </i>
    <i>
      <x v="6"/>
    </i>
    <i r="1">
      <x v="15"/>
    </i>
    <i r="2">
      <x v="83"/>
    </i>
    <i r="2">
      <x v="81"/>
    </i>
    <i r="2">
      <x v="84"/>
    </i>
    <i r="2">
      <x v="82"/>
    </i>
    <i r="2">
      <x v="85"/>
    </i>
    <i r="1">
      <x v="17"/>
    </i>
    <i r="2">
      <x v="106"/>
    </i>
    <i r="2">
      <x v="107"/>
    </i>
    <i>
      <x v="7"/>
    </i>
    <i r="1">
      <x/>
    </i>
    <i r="2">
      <x v="88"/>
    </i>
    <i>
      <x v="8"/>
    </i>
    <i r="1">
      <x v="10"/>
    </i>
    <i r="2">
      <x v="35"/>
    </i>
    <i r="2">
      <x v="36"/>
    </i>
    <i>
      <x v="9"/>
    </i>
    <i r="1">
      <x/>
    </i>
    <i r="2">
      <x v="90"/>
    </i>
    <i>
      <x v="10"/>
    </i>
    <i r="1">
      <x v="7"/>
    </i>
    <i r="2">
      <x v="22"/>
    </i>
    <i r="2">
      <x v="23"/>
    </i>
    <i r="1">
      <x v="8"/>
    </i>
    <i r="2">
      <x v="27"/>
    </i>
    <i r="2">
      <x v="28"/>
    </i>
    <i r="1">
      <x v="13"/>
    </i>
    <i r="2">
      <x v="51"/>
    </i>
    <i r="2">
      <x v="52"/>
    </i>
    <i t="grand">
      <x/>
    </i>
  </rowItems>
  <colItems count="1">
    <i/>
  </colItems>
  <pageFields count="1">
    <pageField fld="2" hier="-1"/>
  </pageFields>
  <dataFields count="1">
    <dataField name="Início do Tingimento" fld="4" subtotal="min" baseField="0" baseItem="0" numFmtId="22"/>
  </dataFields>
  <pivotTableStyleInfo name="PivotStyleMedium9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4FEFC0-B0B9-4254-B2DB-B45501369823}" name="EnderecosEmailDestinatarios" displayName="EnderecosEmailDestinatarios" ref="A1:B2" totalsRowShown="0">
  <autoFilter ref="A1:B2" xr:uid="{0D8A0DBA-2608-4F2A-9830-8EA8658D712F}">
    <filterColumn colId="0" hiddenButton="1"/>
    <filterColumn colId="1" hiddenButton="1"/>
  </autoFilter>
  <tableColumns count="2">
    <tableColumn id="1" xr3:uid="{0A8368CF-4E21-4AB6-A5A2-C80122793F74}" name="Para" dataDxfId="1" dataCellStyle="Hiperlink"/>
    <tableColumn id="2" xr3:uid="{E5DE5ECC-3884-4972-A605-ABA38C73F6EE}" name="Cópia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acacio.klann@costaricamalhas.ind.br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E1AF1-A005-44D0-8545-181DFEA7B5B1}">
  <sheetPr codeName="Planilha2"/>
  <dimension ref="A1:B2"/>
  <sheetViews>
    <sheetView workbookViewId="0">
      <selection activeCell="B8" sqref="B8"/>
    </sheetView>
  </sheetViews>
  <sheetFormatPr defaultRowHeight="15" x14ac:dyDescent="0.25"/>
  <cols>
    <col min="1" max="1" width="38.5703125" bestFit="1" customWidth="1"/>
    <col min="2" max="2" width="71.85546875" bestFit="1" customWidth="1"/>
  </cols>
  <sheetData>
    <row r="1" spans="1:2" x14ac:dyDescent="0.25">
      <c r="A1" t="s">
        <v>16</v>
      </c>
      <c r="B1" t="s">
        <v>17</v>
      </c>
    </row>
    <row r="2" spans="1:2" x14ac:dyDescent="0.25">
      <c r="A2" s="7" t="s">
        <v>18</v>
      </c>
      <c r="B2" s="6"/>
    </row>
  </sheetData>
  <hyperlinks>
    <hyperlink ref="A2" r:id="rId1" xr:uid="{811EBA54-8D13-425A-801A-7A1CD827A3DA}"/>
  </hyperlinks>
  <pageMargins left="0.511811024" right="0.511811024" top="0.78740157499999996" bottom="0.78740157499999996" header="0.31496062000000002" footer="0.31496062000000002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6107E-6F4F-42DE-987A-80B64066428F}">
  <sheetPr codeName="Planilha1">
    <pageSetUpPr fitToPage="1"/>
  </sheetPr>
  <dimension ref="A1:B62"/>
  <sheetViews>
    <sheetView tabSelected="1" workbookViewId="0">
      <selection activeCell="C5" sqref="C5"/>
    </sheetView>
  </sheetViews>
  <sheetFormatPr defaultRowHeight="15" x14ac:dyDescent="0.25"/>
  <cols>
    <col min="1" max="1" width="20.85546875" bestFit="1" customWidth="1"/>
    <col min="2" max="2" width="19.42578125" bestFit="1" customWidth="1"/>
  </cols>
  <sheetData>
    <row r="1" spans="1:2" x14ac:dyDescent="0.25">
      <c r="A1" s="1" t="s">
        <v>0</v>
      </c>
      <c r="B1" t="s">
        <v>2</v>
      </c>
    </row>
    <row r="3" spans="1:2" x14ac:dyDescent="0.25">
      <c r="A3" s="1" t="s">
        <v>4</v>
      </c>
      <c r="B3" t="s">
        <v>5</v>
      </c>
    </row>
    <row r="4" spans="1:2" x14ac:dyDescent="0.25">
      <c r="A4" s="2" t="s">
        <v>3</v>
      </c>
      <c r="B4" s="5"/>
    </row>
    <row r="5" spans="1:2" x14ac:dyDescent="0.25">
      <c r="A5" s="3">
        <v>0</v>
      </c>
      <c r="B5" s="5"/>
    </row>
    <row r="6" spans="1:2" x14ac:dyDescent="0.25">
      <c r="A6" s="4">
        <v>172002</v>
      </c>
      <c r="B6" s="5">
        <v>46113.171527777777</v>
      </c>
    </row>
    <row r="7" spans="1:2" x14ac:dyDescent="0.25">
      <c r="A7" s="2" t="s">
        <v>6</v>
      </c>
      <c r="B7" s="5"/>
    </row>
    <row r="8" spans="1:2" x14ac:dyDescent="0.25">
      <c r="A8" s="3">
        <v>0</v>
      </c>
      <c r="B8" s="5"/>
    </row>
    <row r="9" spans="1:2" x14ac:dyDescent="0.25">
      <c r="A9" s="4">
        <v>171927</v>
      </c>
      <c r="B9" s="5">
        <v>46112.823611111111</v>
      </c>
    </row>
    <row r="10" spans="1:2" x14ac:dyDescent="0.25">
      <c r="A10" s="4">
        <v>171928</v>
      </c>
      <c r="B10" s="5">
        <v>46112.961805555555</v>
      </c>
    </row>
    <row r="11" spans="1:2" x14ac:dyDescent="0.25">
      <c r="A11" s="2" t="s">
        <v>10</v>
      </c>
      <c r="B11" s="5"/>
    </row>
    <row r="12" spans="1:2" x14ac:dyDescent="0.25">
      <c r="A12" s="3">
        <v>0</v>
      </c>
      <c r="B12" s="5"/>
    </row>
    <row r="13" spans="1:2" x14ac:dyDescent="0.25">
      <c r="A13" s="4">
        <v>171854</v>
      </c>
      <c r="B13" s="5">
        <v>46112.390277777777</v>
      </c>
    </row>
    <row r="14" spans="1:2" x14ac:dyDescent="0.25">
      <c r="A14" s="4">
        <v>171860</v>
      </c>
      <c r="B14" s="5">
        <v>46112.80972222222</v>
      </c>
    </row>
    <row r="15" spans="1:2" x14ac:dyDescent="0.25">
      <c r="A15" s="4">
        <v>171958</v>
      </c>
      <c r="B15" s="5">
        <v>46112.931944444441</v>
      </c>
    </row>
    <row r="16" spans="1:2" x14ac:dyDescent="0.25">
      <c r="A16" s="2" t="s">
        <v>11</v>
      </c>
      <c r="B16" s="5"/>
    </row>
    <row r="17" spans="1:2" x14ac:dyDescent="0.25">
      <c r="A17" s="3">
        <v>0</v>
      </c>
      <c r="B17" s="5"/>
    </row>
    <row r="18" spans="1:2" x14ac:dyDescent="0.25">
      <c r="A18" s="4">
        <v>171749</v>
      </c>
      <c r="B18" s="5">
        <v>46112.820833333331</v>
      </c>
    </row>
    <row r="19" spans="1:2" x14ac:dyDescent="0.25">
      <c r="A19" s="4">
        <v>171748</v>
      </c>
      <c r="B19" s="5">
        <v>46112.946527777778</v>
      </c>
    </row>
    <row r="20" spans="1:2" x14ac:dyDescent="0.25">
      <c r="A20" s="4">
        <v>171747</v>
      </c>
      <c r="B20" s="5">
        <v>46113.072916666664</v>
      </c>
    </row>
    <row r="21" spans="1:2" x14ac:dyDescent="0.25">
      <c r="A21" s="2" t="s">
        <v>7</v>
      </c>
      <c r="B21" s="5"/>
    </row>
    <row r="22" spans="1:2" x14ac:dyDescent="0.25">
      <c r="A22" s="3">
        <v>0</v>
      </c>
      <c r="B22" s="5"/>
    </row>
    <row r="23" spans="1:2" x14ac:dyDescent="0.25">
      <c r="A23" s="4">
        <v>172043</v>
      </c>
      <c r="B23" s="5">
        <v>46112.669444444444</v>
      </c>
    </row>
    <row r="24" spans="1:2" x14ac:dyDescent="0.25">
      <c r="A24" s="4">
        <v>172044</v>
      </c>
      <c r="B24" s="5">
        <v>46112.808333333334</v>
      </c>
    </row>
    <row r="25" spans="1:2" x14ac:dyDescent="0.25">
      <c r="A25" s="4">
        <v>172041</v>
      </c>
      <c r="B25" s="5">
        <v>46112.947222222225</v>
      </c>
    </row>
    <row r="26" spans="1:2" x14ac:dyDescent="0.25">
      <c r="A26" s="4">
        <v>171772</v>
      </c>
      <c r="B26" s="5">
        <v>46113.086111111108</v>
      </c>
    </row>
    <row r="27" spans="1:2" x14ac:dyDescent="0.25">
      <c r="A27" s="2" t="s">
        <v>12</v>
      </c>
      <c r="B27" s="5"/>
    </row>
    <row r="28" spans="1:2" x14ac:dyDescent="0.25">
      <c r="A28" s="3">
        <v>0</v>
      </c>
      <c r="B28" s="5"/>
    </row>
    <row r="29" spans="1:2" x14ac:dyDescent="0.25">
      <c r="A29" s="4">
        <v>171806</v>
      </c>
      <c r="B29" s="5">
        <v>46112.659722222219</v>
      </c>
    </row>
    <row r="30" spans="1:2" x14ac:dyDescent="0.25">
      <c r="A30" s="4">
        <v>171788</v>
      </c>
      <c r="B30" s="5">
        <v>46112.75</v>
      </c>
    </row>
    <row r="31" spans="1:2" x14ac:dyDescent="0.25">
      <c r="A31" s="4">
        <v>171790</v>
      </c>
      <c r="B31" s="5">
        <v>46112.892361111109</v>
      </c>
    </row>
    <row r="32" spans="1:2" x14ac:dyDescent="0.25">
      <c r="A32" s="2" t="s">
        <v>13</v>
      </c>
      <c r="B32" s="5"/>
    </row>
    <row r="33" spans="1:2" x14ac:dyDescent="0.25">
      <c r="A33" s="3">
        <v>185722</v>
      </c>
      <c r="B33" s="5"/>
    </row>
    <row r="34" spans="1:2" x14ac:dyDescent="0.25">
      <c r="A34" s="4">
        <v>172473</v>
      </c>
      <c r="B34" s="5">
        <v>46112.887499999997</v>
      </c>
    </row>
    <row r="35" spans="1:2" x14ac:dyDescent="0.25">
      <c r="A35" s="4">
        <v>172498</v>
      </c>
      <c r="B35" s="5">
        <v>46112.887499999997</v>
      </c>
    </row>
    <row r="36" spans="1:2" x14ac:dyDescent="0.25">
      <c r="A36" s="4">
        <v>170091</v>
      </c>
      <c r="B36" s="5">
        <v>46112.887499999997</v>
      </c>
    </row>
    <row r="37" spans="1:2" x14ac:dyDescent="0.25">
      <c r="A37" s="4">
        <v>172415</v>
      </c>
      <c r="B37" s="5">
        <v>46112.887499999997</v>
      </c>
    </row>
    <row r="38" spans="1:2" x14ac:dyDescent="0.25">
      <c r="A38" s="4">
        <v>172503</v>
      </c>
      <c r="B38" s="5">
        <v>46112.887499999997</v>
      </c>
    </row>
    <row r="39" spans="1:2" x14ac:dyDescent="0.25">
      <c r="A39" s="3">
        <v>185714</v>
      </c>
      <c r="B39" s="5"/>
    </row>
    <row r="40" spans="1:2" x14ac:dyDescent="0.25">
      <c r="A40" s="4">
        <v>172389</v>
      </c>
      <c r="B40" s="5">
        <v>46113.126388888886</v>
      </c>
    </row>
    <row r="41" spans="1:2" x14ac:dyDescent="0.25">
      <c r="A41" s="4">
        <v>172054</v>
      </c>
      <c r="B41" s="5">
        <v>46113.126388888886</v>
      </c>
    </row>
    <row r="42" spans="1:2" x14ac:dyDescent="0.25">
      <c r="A42" s="2" t="s">
        <v>15</v>
      </c>
      <c r="B42" s="5"/>
    </row>
    <row r="43" spans="1:2" x14ac:dyDescent="0.25">
      <c r="A43" s="3">
        <v>0</v>
      </c>
      <c r="B43" s="5"/>
    </row>
    <row r="44" spans="1:2" x14ac:dyDescent="0.25">
      <c r="A44" s="4">
        <v>172017</v>
      </c>
      <c r="B44" s="5">
        <v>46112.959027777775</v>
      </c>
    </row>
    <row r="45" spans="1:2" x14ac:dyDescent="0.25">
      <c r="A45" s="2" t="s">
        <v>8</v>
      </c>
      <c r="B45" s="5"/>
    </row>
    <row r="46" spans="1:2" x14ac:dyDescent="0.25">
      <c r="A46" s="3">
        <v>185678</v>
      </c>
      <c r="B46" s="5"/>
    </row>
    <row r="47" spans="1:2" x14ac:dyDescent="0.25">
      <c r="A47" s="4">
        <v>171946</v>
      </c>
      <c r="B47" s="5">
        <v>46112.95416666667</v>
      </c>
    </row>
    <row r="48" spans="1:2" x14ac:dyDescent="0.25">
      <c r="A48" s="4">
        <v>171947</v>
      </c>
      <c r="B48" s="5">
        <v>46112.95416666667</v>
      </c>
    </row>
    <row r="49" spans="1:2" x14ac:dyDescent="0.25">
      <c r="A49" s="2" t="s">
        <v>9</v>
      </c>
      <c r="B49" s="5"/>
    </row>
    <row r="50" spans="1:2" x14ac:dyDescent="0.25">
      <c r="A50" s="3">
        <v>0</v>
      </c>
      <c r="B50" s="5"/>
    </row>
    <row r="51" spans="1:2" x14ac:dyDescent="0.25">
      <c r="A51" s="4">
        <v>171833</v>
      </c>
      <c r="B51" s="5">
        <v>46112.974999999999</v>
      </c>
    </row>
    <row r="52" spans="1:2" x14ac:dyDescent="0.25">
      <c r="A52" s="2" t="s">
        <v>14</v>
      </c>
      <c r="B52" s="5"/>
    </row>
    <row r="53" spans="1:2" x14ac:dyDescent="0.25">
      <c r="A53" s="3">
        <v>185635</v>
      </c>
      <c r="B53" s="5"/>
    </row>
    <row r="54" spans="1:2" x14ac:dyDescent="0.25">
      <c r="A54" s="4">
        <v>171494</v>
      </c>
      <c r="B54" s="5">
        <v>46112.956944444442</v>
      </c>
    </row>
    <row r="55" spans="1:2" x14ac:dyDescent="0.25">
      <c r="A55" s="4">
        <v>171493</v>
      </c>
      <c r="B55" s="5">
        <v>46112.956944444442</v>
      </c>
    </row>
    <row r="56" spans="1:2" x14ac:dyDescent="0.25">
      <c r="A56" s="3">
        <v>185634</v>
      </c>
      <c r="B56" s="5"/>
    </row>
    <row r="57" spans="1:2" x14ac:dyDescent="0.25">
      <c r="A57" s="4">
        <v>171496</v>
      </c>
      <c r="B57" s="5">
        <v>46113.024305555555</v>
      </c>
    </row>
    <row r="58" spans="1:2" x14ac:dyDescent="0.25">
      <c r="A58" s="4">
        <v>171495</v>
      </c>
      <c r="B58" s="5">
        <v>46113.024305555555</v>
      </c>
    </row>
    <row r="59" spans="1:2" x14ac:dyDescent="0.25">
      <c r="A59" s="3">
        <v>185712</v>
      </c>
      <c r="B59" s="5"/>
    </row>
    <row r="60" spans="1:2" x14ac:dyDescent="0.25">
      <c r="A60" s="4">
        <v>171821</v>
      </c>
      <c r="B60" s="5">
        <v>46112.609722222223</v>
      </c>
    </row>
    <row r="61" spans="1:2" x14ac:dyDescent="0.25">
      <c r="A61" s="4">
        <v>171820</v>
      </c>
      <c r="B61" s="5">
        <v>46112.609722222223</v>
      </c>
    </row>
    <row r="62" spans="1:2" x14ac:dyDescent="0.25">
      <c r="A62" s="2" t="s">
        <v>1</v>
      </c>
      <c r="B62" s="5">
        <v>46112.390277777777</v>
      </c>
    </row>
  </sheetData>
  <pageMargins left="0.511811024" right="0.511811024" top="0.78740157499999996" bottom="0.78740157499999996" header="0.31496062000000002" footer="0.31496062000000002"/>
  <pageSetup paperSize="9" scale="82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FB9680-4250-4569-98EA-DA8A7E77EE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Config</vt:lpstr>
      <vt:lpstr>ControleReceitasEmitidas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2026-03-13T11:36:14Z</cp:lastPrinted>
  <dcterms:created xsi:type="dcterms:W3CDTF">2024-05-01T17:44:56Z</dcterms:created>
  <dcterms:modified xsi:type="dcterms:W3CDTF">2026-03-31T18:52:14Z</dcterms:modified>
</cp:coreProperties>
</file>