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9FC66EE6-F291-45AC-A24E-87C784CCA3A8}" xr6:coauthVersionLast="47" xr6:coauthVersionMax="47" xr10:uidLastSave="{00000000-0000-0000-0000-000000000000}"/>
  <bookViews>
    <workbookView xWindow="-120" yWindow="-120" windowWidth="29040" windowHeight="15840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7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<sst xmlns="http://schemas.openxmlformats.org/spreadsheetml/2006/main" count="20" uniqueCount="20">
  <si>
    <t>PESADA</t>
  </si>
  <si>
    <t>Total Geral</t>
  </si>
  <si>
    <t>NÃO</t>
  </si>
  <si>
    <t>MQ01</t>
  </si>
  <si>
    <t>Máq./Grupo/Nº OB</t>
  </si>
  <si>
    <t>Início do Tingimento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</si>
  <si>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</si>
  <si>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</si>
  <si>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</si>
  <si>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</si>
  <si>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</si>
  <si>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</si>
  <si>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</si>
  <si>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</si>
  <si>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</si>
  <si>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</si>
  <si>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</si>
  <si>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</si>
  <si>
    <t>gabriel.dias@costaricamalhas.ind.br</t>
  </si>
  <si>
    <t>MQ02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</si>
</sst>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  <xf numFmtId="0" fontId="1" fillId="0" borderId="1" xfId="1" applyFont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35.933244444444" missingItemsLimit="0" createdVersion="7" refreshedVersion="7" minRefreshableVersion="3" recordCount="84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6032" count="23">
        <n v="0"/>
        <n v="186009"/>
        <n v="185993"/>
        <n v="186008"/>
        <n v="185924"/>
        <n v="186032"/>
        <n v="185925"/>
        <n v="185926"/>
        <n v="185964"/>
        <n v="185938"/>
        <n v="186005"/>
        <n v="185927"/>
        <n v="185928"/>
        <n v="185811"/>
        <n v="185990"/>
        <n v="186004"/>
        <n v="185929"/>
        <n v="185930"/>
        <n v="185931"/>
        <n v="185997"/>
        <n v="186010"/>
        <n v="185996"/>
        <n v="186003"/>
      </sharedItems>
    </cacheField>
    <cacheField name="NUMERO_OB" numFmtId="0">
      <sharedItems containsSemiMixedTypes="0" containsString="0" containsNumber="1" containsInteger="1" minValue="172816" maxValue="174708" count="84">
        <n v="172853"/>
        <n v="173856"/>
        <n v="173855"/>
        <n v="174228"/>
        <n v="173838"/>
        <n v="173870"/>
        <n v="173871"/>
        <n v="174149"/>
        <n v="173902"/>
        <n v="174237"/>
        <n v="174206"/>
        <n v="174207"/>
        <n v="174708"/>
        <n v="173857"/>
        <n v="173858"/>
        <n v="174210"/>
        <n v="172817"/>
        <n v="172816"/>
        <n v="174355"/>
        <n v="174356"/>
        <n v="174235"/>
        <n v="173944"/>
        <n v="173839"/>
        <n v="174190"/>
        <n v="172819"/>
        <n v="172818"/>
        <n v="172820"/>
        <n v="172821"/>
        <n v="174012"/>
        <n v="174256"/>
        <n v="174251"/>
        <n v="174028"/>
        <n v="173250"/>
        <n v="174407"/>
        <n v="173797"/>
        <n v="174025"/>
        <n v="174024"/>
        <n v="173956"/>
        <n v="173955"/>
        <n v="172822"/>
        <n v="172823"/>
        <n v="173928"/>
        <n v="174227"/>
        <n v="173875"/>
        <n v="172825"/>
        <n v="172824"/>
        <n v="174209"/>
        <n v="173829"/>
        <n v="173225"/>
        <n v="173227"/>
        <n v="173226"/>
        <n v="173888"/>
        <n v="174204"/>
        <n v="174203"/>
        <n v="173840"/>
        <n v="173851"/>
        <n v="174420"/>
        <n v="174421"/>
        <n v="174422"/>
        <n v="174240"/>
        <n v="172826"/>
        <n v="172827"/>
        <n v="173874"/>
        <n v="172829"/>
        <n v="172828"/>
        <n v="173933"/>
        <n v="172831"/>
        <n v="172830"/>
        <n v="173966"/>
        <n v="174247"/>
        <n v="173841"/>
        <n v="173834"/>
        <n v="173833"/>
        <n v="174189"/>
        <n v="173827"/>
        <n v="173828"/>
        <n v="173878"/>
        <n v="173863"/>
        <n v="174281"/>
        <n v="173837"/>
        <n v="173836"/>
        <n v="173842"/>
        <n v="173965"/>
        <n v="173964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01"/>
        <s v="MQ11"/>
        <s v="MQ06"/>
        <s v="MQ07"/>
        <s v="MQ09"/>
        <s v="MQ08"/>
        <s v="MQ05"/>
        <s v="MQ04"/>
        <s v="MQ10"/>
        <s v="MQ02"/>
        <s v="MQ03"/>
      </sharedItems>
    </cacheField>
    <cacheField name="INICIO_TING" numFmtId="0">
      <sharedItems containsSemiMixedTypes="0" containsNonDate="0" containsDate="1" containsString="0" minDate="2026-04-23T15:22:00" maxDate="2026-04-24T22:19:00"/>
    </cacheField>
    <cacheField name="FINAL_TING" numFmtId="0">
      <sharedItems containsSemiMixedTypes="0" containsNonDate="0" containsDate="1" containsString="0" minDate="2026-04-23T20:20:00" maxDate="2026-04-25T03:01:00"/>
    </cacheField>
    <cacheField name="ARTIGO" numFmtId="0">
      <sharedItems count="16">
        <s v="00189     "/>
        <s v="00030     "/>
        <s v="00056     "/>
        <s v="00024     "/>
        <s v="00032     "/>
        <s v="00042     "/>
        <s v="00178     "/>
        <s v="00191     "/>
        <s v="00184     "/>
        <s v="00149     "/>
        <s v="00015     "/>
        <s v="00150     "/>
        <s v="00146     "/>
        <s v="00142     "/>
        <s v="00014     "/>
        <s v="00018     "/>
      </sharedItems>
    </cacheField>
    <cacheField name="REDUZIDO" numFmtId="0">
      <sharedItems containsSemiMixedTypes="0" containsString="0" containsNumber="1" containsInteger="1" minValue="254" maxValue="22638"/>
    </cacheField>
    <cacheField name="DESCRICAO" numFmtId="0">
      <sharedItems/>
    </cacheField>
    <cacheField name="FASE_ATUAL" numFmtId="0">
      <sharedItems count="2">
        <s v="TIN-TINGIMENTO"/>
        <s v="RMC-REVISÃO MALHA CRUA"/>
      </sharedItems>
    </cacheField>
    <cacheField name="STATUS_FASE" numFmtId="0">
      <sharedItems count="4">
        <s v="EM EXECUÇÃO"/>
        <s v="EMITIDA"/>
        <s v="PESADA"/>
        <s v="PROGRAMADA"/>
      </sharedItems>
    </cacheField>
    <cacheField name="USUARIO" numFmtId="0">
      <sharedItems containsBlank="1" count="4">
        <s v="LUIZ ANDREI DE LIMA"/>
        <s v="SINVAL SILVA SOUZA"/>
        <s v="RAFAEL ALEXANDRE DA ROSA"/>
        <m/>
      </sharedItems>
    </cacheField>
    <cacheField name="HORARIO_PESADO" numFmtId="0">
      <sharedItems containsNonDate="0" containsDate="1" containsString="0" containsBlank="1" minDate="2026-04-23T08:59:32" maxDate="2026-04-23T22:18:30" count="24">
        <d v="2026-04-23T08:59:32"/>
        <d v="2026-04-23T12:34:06"/>
        <d v="2026-04-23T17:03:30"/>
        <d v="2026-04-23T12:12:06"/>
        <d v="2026-04-23T19:06:35"/>
        <d v="2026-04-23T16:51:04"/>
        <d v="2026-04-23T17:12:48"/>
        <d v="2026-04-23T15:33:55"/>
        <d v="2026-04-23T20:11:54"/>
        <d v="2026-04-23T17:18:35"/>
        <d v="2026-04-23T19:40:25"/>
        <d v="2026-04-23T16:12:58"/>
        <d v="2026-04-23T17:38:16"/>
        <d v="2026-04-23T20:21:57"/>
        <d v="2026-04-23T19:50:57"/>
        <d v="2026-04-23T15:46:21"/>
        <d v="2026-04-23T09:08:48"/>
        <d v="2026-04-23T17:29:16"/>
        <d v="2026-04-23T20:00:12"/>
        <d v="2026-04-23T22:18:30"/>
        <m/>
        <d v="2026-04-23T19:34:57"/>
        <d v="2026-04-23T20:07:56"/>
        <d v="2026-04-23T17:56:27"/>
      </sharedItems>
    </cacheField>
    <cacheField name="DIAS_PESADO" numFmtId="0">
      <sharedItems containsString="0" containsBlank="1" containsNumber="1" minValue="0" maxValue="0.56000000000000005" count="19">
        <n v="0.56000000000000005"/>
        <n v="0.41"/>
        <n v="0.22"/>
        <n v="0.42"/>
        <n v="0.14000000000000001"/>
        <n v="0.23"/>
        <n v="0.28000000000000003"/>
        <n v="0.09"/>
        <n v="0.21"/>
        <n v="0.11"/>
        <n v="0.26"/>
        <n v="0.2"/>
        <n v="0.08"/>
        <n v="0.55000000000000004"/>
        <n v="0.1"/>
        <n v="0"/>
        <m/>
        <n v="0.12"/>
        <n v="0.19"/>
      </sharedItems>
    </cacheField>
    <cacheField name="QUANT_PESADA" numFmtId="0">
      <sharedItems containsSemiMixedTypes="0" containsString="0" containsNumber="1" minValue="0" maxValue="181.36699999999999" count="24">
        <n v="34.326999999999998"/>
        <n v="181.36699999999999"/>
        <n v="52.107999999999997"/>
        <n v="36.295000000000002"/>
        <n v="1.3478399999999999"/>
        <n v="6.2289999999999998E-2"/>
        <n v="17.623999999999999"/>
        <n v="11.103999999999999"/>
        <n v="0.72519"/>
        <n v="10.702"/>
        <n v="69.194999999999993"/>
        <n v="83.555000000000007"/>
        <n v="45.344999999999999"/>
        <n v="6.9809999999999999"/>
        <n v="38.372999999999998"/>
        <n v="12.999000000000001"/>
        <n v="7.825E-2"/>
        <n v="36.130000000000003"/>
        <n v="11.093"/>
        <n v="7.0279999999999996"/>
        <n v="0"/>
        <n v="43.863930000000003"/>
        <n v="1.4434100000000001"/>
        <n v="60.10499999999999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x v="0"/>
    <x v="0"/>
    <x v="0"/>
    <x v="0"/>
    <d v="2026-04-23T15:22:00"/>
    <d v="2026-04-23T22:22:00"/>
    <x v="0"/>
    <n v="15290"/>
    <s v="VISCOLYCRA VORTEX VERDE ESPECIAL"/>
    <x v="0"/>
    <x v="0"/>
    <x v="0"/>
    <x v="0"/>
    <x v="0"/>
    <x v="0"/>
  </r>
  <r>
    <x v="1"/>
    <x v="1"/>
    <x v="0"/>
    <x v="1"/>
    <d v="2026-04-23T15:53:00"/>
    <d v="2026-04-23T20:20:00"/>
    <x v="1"/>
    <n v="1807"/>
    <s v="M/M 30/1 CARDADA OE PRETO"/>
    <x v="0"/>
    <x v="0"/>
    <x v="0"/>
    <x v="1"/>
    <x v="1"/>
    <x v="1"/>
  </r>
  <r>
    <x v="1"/>
    <x v="2"/>
    <x v="0"/>
    <x v="1"/>
    <d v="2026-04-23T15:53:00"/>
    <d v="2026-04-23T20:20:00"/>
    <x v="1"/>
    <n v="1807"/>
    <s v="M/M 30/1 CARDADA OE PRETO"/>
    <x v="0"/>
    <x v="0"/>
    <x v="0"/>
    <x v="1"/>
    <x v="1"/>
    <x v="1"/>
  </r>
  <r>
    <x v="0"/>
    <x v="3"/>
    <x v="0"/>
    <x v="2"/>
    <d v="2026-04-23T17:11:00"/>
    <d v="2026-04-23T23:04:00"/>
    <x v="2"/>
    <n v="16658"/>
    <s v="MOLETOM PA TUBULAR PRETO"/>
    <x v="0"/>
    <x v="0"/>
    <x v="1"/>
    <x v="2"/>
    <x v="2"/>
    <x v="2"/>
  </r>
  <r>
    <x v="0"/>
    <x v="4"/>
    <x v="0"/>
    <x v="3"/>
    <d v="2026-04-23T17:40:00"/>
    <d v="2026-04-24T00:27:00"/>
    <x v="3"/>
    <n v="1429"/>
    <s v="M/M 24/1 18 TRAMAS VERMELHO"/>
    <x v="0"/>
    <x v="0"/>
    <x v="0"/>
    <x v="3"/>
    <x v="3"/>
    <x v="3"/>
  </r>
  <r>
    <x v="2"/>
    <x v="5"/>
    <x v="0"/>
    <x v="4"/>
    <d v="2026-04-23T18:17:00"/>
    <d v="2026-04-23T22:56:00"/>
    <x v="4"/>
    <n v="308"/>
    <s v="M/M 30/1 PENTEADO CAQUI"/>
    <x v="0"/>
    <x v="0"/>
    <x v="1"/>
    <x v="4"/>
    <x v="4"/>
    <x v="4"/>
  </r>
  <r>
    <x v="2"/>
    <x v="6"/>
    <x v="0"/>
    <x v="4"/>
    <d v="2026-04-23T18:17:00"/>
    <d v="2026-04-23T22:56:00"/>
    <x v="4"/>
    <n v="308"/>
    <s v="M/M 30/1 PENTEADO CAQUI"/>
    <x v="0"/>
    <x v="0"/>
    <x v="1"/>
    <x v="4"/>
    <x v="4"/>
    <x v="4"/>
  </r>
  <r>
    <x v="0"/>
    <x v="7"/>
    <x v="0"/>
    <x v="5"/>
    <d v="2026-04-23T18:47:00"/>
    <d v="2026-04-23T23:27:00"/>
    <x v="2"/>
    <n v="16982"/>
    <s v="MOLETOM PA TUBULAR ROSA BEBÊ"/>
    <x v="0"/>
    <x v="0"/>
    <x v="1"/>
    <x v="5"/>
    <x v="5"/>
    <x v="5"/>
  </r>
  <r>
    <x v="0"/>
    <x v="8"/>
    <x v="0"/>
    <x v="6"/>
    <d v="2026-04-23T19:24:00"/>
    <d v="2026-04-24T04:23:00"/>
    <x v="5"/>
    <n v="1444"/>
    <s v="M/M 30/1 PV ROYAL"/>
    <x v="0"/>
    <x v="0"/>
    <x v="1"/>
    <x v="6"/>
    <x v="2"/>
    <x v="6"/>
  </r>
  <r>
    <x v="0"/>
    <x v="9"/>
    <x v="0"/>
    <x v="7"/>
    <d v="2026-04-23T19:33:00"/>
    <d v="2026-04-23T23:26:00"/>
    <x v="6"/>
    <n v="1155"/>
    <s v="SUPLEX ESPECIAL VINHO"/>
    <x v="0"/>
    <x v="0"/>
    <x v="1"/>
    <x v="7"/>
    <x v="6"/>
    <x v="7"/>
  </r>
  <r>
    <x v="0"/>
    <x v="10"/>
    <x v="0"/>
    <x v="8"/>
    <d v="2026-04-23T19:57:00"/>
    <d v="2026-04-24T00:27:00"/>
    <x v="3"/>
    <n v="1261"/>
    <s v="M/M 24/1 18 TRAMAS VERDE BEBÊ"/>
    <x v="0"/>
    <x v="0"/>
    <x v="1"/>
    <x v="8"/>
    <x v="7"/>
    <x v="8"/>
  </r>
  <r>
    <x v="0"/>
    <x v="11"/>
    <x v="0"/>
    <x v="9"/>
    <d v="2026-04-23T21:07:00"/>
    <d v="2026-04-24T04:24:00"/>
    <x v="3"/>
    <n v="1291"/>
    <s v="M/M 24/1 18 TRAMAS LILÁS MÉDIO"/>
    <x v="0"/>
    <x v="0"/>
    <x v="1"/>
    <x v="9"/>
    <x v="8"/>
    <x v="9"/>
  </r>
  <r>
    <x v="0"/>
    <x v="12"/>
    <x v="0"/>
    <x v="10"/>
    <d v="2026-04-23T21:26:00"/>
    <d v="2026-04-24T02:11:00"/>
    <x v="7"/>
    <n v="22104"/>
    <s v="VISCOLYCRA VORTEX LIGHT PRETO"/>
    <x v="0"/>
    <x v="0"/>
    <x v="1"/>
    <x v="10"/>
    <x v="9"/>
    <x v="10"/>
  </r>
  <r>
    <x v="3"/>
    <x v="13"/>
    <x v="0"/>
    <x v="1"/>
    <d v="2026-04-23T21:35:00"/>
    <d v="2026-04-24T03:46:00"/>
    <x v="1"/>
    <n v="3616"/>
    <s v="M/M 30/1 CARDADA OE MARINHO"/>
    <x v="0"/>
    <x v="1"/>
    <x v="1"/>
    <x v="11"/>
    <x v="10"/>
    <x v="11"/>
  </r>
  <r>
    <x v="3"/>
    <x v="14"/>
    <x v="0"/>
    <x v="1"/>
    <d v="2026-04-23T21:35:00"/>
    <d v="2026-04-24T03:46:00"/>
    <x v="1"/>
    <n v="3616"/>
    <s v="M/M 30/1 CARDADA OE MARINHO"/>
    <x v="0"/>
    <x v="1"/>
    <x v="1"/>
    <x v="11"/>
    <x v="10"/>
    <x v="11"/>
  </r>
  <r>
    <x v="0"/>
    <x v="15"/>
    <x v="0"/>
    <x v="0"/>
    <d v="2026-04-23T22:23:00"/>
    <d v="2026-04-24T05:55:00"/>
    <x v="3"/>
    <n v="1439"/>
    <s v="M/M 24/1 18 TRAMAS ROYAL"/>
    <x v="0"/>
    <x v="2"/>
    <x v="1"/>
    <x v="12"/>
    <x v="11"/>
    <x v="12"/>
  </r>
  <r>
    <x v="4"/>
    <x v="16"/>
    <x v="0"/>
    <x v="4"/>
    <d v="2026-04-23T22:57:00"/>
    <d v="2026-04-24T00:33:00"/>
    <x v="8"/>
    <n v="1825"/>
    <s v="POLIÉSTER FIADO BRANCO"/>
    <x v="0"/>
    <x v="2"/>
    <x v="1"/>
    <x v="13"/>
    <x v="12"/>
    <x v="13"/>
  </r>
  <r>
    <x v="4"/>
    <x v="17"/>
    <x v="0"/>
    <x v="4"/>
    <d v="2026-04-23T22:57:00"/>
    <d v="2026-04-24T00:33:00"/>
    <x v="8"/>
    <n v="1825"/>
    <s v="POLIÉSTER FIADO BRANCO"/>
    <x v="0"/>
    <x v="2"/>
    <x v="1"/>
    <x v="13"/>
    <x v="12"/>
    <x v="13"/>
  </r>
  <r>
    <x v="5"/>
    <x v="18"/>
    <x v="0"/>
    <x v="2"/>
    <d v="2026-04-23T23:05:00"/>
    <d v="2026-04-24T02:45:00"/>
    <x v="8"/>
    <n v="2599"/>
    <s v="POLIÉSTER FIADO PRETO"/>
    <x v="0"/>
    <x v="2"/>
    <x v="1"/>
    <x v="14"/>
    <x v="9"/>
    <x v="14"/>
  </r>
  <r>
    <x v="5"/>
    <x v="19"/>
    <x v="0"/>
    <x v="2"/>
    <d v="2026-04-23T23:05:00"/>
    <d v="2026-04-24T02:45:00"/>
    <x v="8"/>
    <n v="2599"/>
    <s v="POLIÉSTER FIADO PRETO"/>
    <x v="0"/>
    <x v="2"/>
    <x v="1"/>
    <x v="14"/>
    <x v="9"/>
    <x v="14"/>
  </r>
  <r>
    <x v="0"/>
    <x v="20"/>
    <x v="0"/>
    <x v="7"/>
    <d v="2026-04-23T23:27:00"/>
    <d v="2026-04-24T03:56:00"/>
    <x v="6"/>
    <n v="1095"/>
    <s v="SUPLEX ESPECIAL VERMELHO"/>
    <x v="0"/>
    <x v="2"/>
    <x v="1"/>
    <x v="15"/>
    <x v="6"/>
    <x v="15"/>
  </r>
  <r>
    <x v="0"/>
    <x v="21"/>
    <x v="0"/>
    <x v="5"/>
    <d v="2026-04-23T23:28:00"/>
    <d v="2026-04-24T02:28:00"/>
    <x v="9"/>
    <n v="2744"/>
    <s v="HELANCA SUEDINE 100%CO ROSA BEBÊ"/>
    <x v="0"/>
    <x v="2"/>
    <x v="0"/>
    <x v="16"/>
    <x v="13"/>
    <x v="16"/>
  </r>
  <r>
    <x v="0"/>
    <x v="22"/>
    <x v="0"/>
    <x v="3"/>
    <d v="2026-04-24T00:28:00"/>
    <d v="2026-04-24T07:05:00"/>
    <x v="3"/>
    <n v="1429"/>
    <s v="M/M 24/1 18 TRAMAS VERMELHO"/>
    <x v="0"/>
    <x v="2"/>
    <x v="1"/>
    <x v="17"/>
    <x v="11"/>
    <x v="17"/>
  </r>
  <r>
    <x v="0"/>
    <x v="23"/>
    <x v="0"/>
    <x v="8"/>
    <d v="2026-04-24T00:28:00"/>
    <d v="2026-04-24T05:39:00"/>
    <x v="0"/>
    <n v="15291"/>
    <s v="VISCOLYCRA VORTEX AMARELO CANÁRIO"/>
    <x v="0"/>
    <x v="2"/>
    <x v="1"/>
    <x v="18"/>
    <x v="14"/>
    <x v="18"/>
  </r>
  <r>
    <x v="6"/>
    <x v="24"/>
    <x v="0"/>
    <x v="4"/>
    <d v="2026-04-24T00:34:00"/>
    <d v="2026-04-24T02:10:00"/>
    <x v="8"/>
    <n v="1825"/>
    <s v="POLIÉSTER FIADO BRANCO"/>
    <x v="0"/>
    <x v="1"/>
    <x v="2"/>
    <x v="19"/>
    <x v="15"/>
    <x v="19"/>
  </r>
  <r>
    <x v="6"/>
    <x v="25"/>
    <x v="0"/>
    <x v="4"/>
    <d v="2026-04-24T00:34:00"/>
    <d v="2026-04-24T02:10:00"/>
    <x v="8"/>
    <n v="1825"/>
    <s v="POLIÉSTER FIADO BRANCO"/>
    <x v="0"/>
    <x v="1"/>
    <x v="2"/>
    <x v="19"/>
    <x v="15"/>
    <x v="19"/>
  </r>
  <r>
    <x v="7"/>
    <x v="26"/>
    <x v="1"/>
    <x v="4"/>
    <d v="2026-04-24T02:11:00"/>
    <d v="2026-04-24T03:47:00"/>
    <x v="8"/>
    <n v="1825"/>
    <s v="POLIÉSTER FIADO BRANCO"/>
    <x v="0"/>
    <x v="1"/>
    <x v="3"/>
    <x v="20"/>
    <x v="16"/>
    <x v="20"/>
  </r>
  <r>
    <x v="7"/>
    <x v="27"/>
    <x v="1"/>
    <x v="4"/>
    <d v="2026-04-24T02:11:00"/>
    <d v="2026-04-24T03:47:00"/>
    <x v="8"/>
    <n v="1825"/>
    <s v="POLIÉSTER FIADO BRANCO"/>
    <x v="0"/>
    <x v="1"/>
    <x v="3"/>
    <x v="20"/>
    <x v="16"/>
    <x v="20"/>
  </r>
  <r>
    <x v="0"/>
    <x v="28"/>
    <x v="0"/>
    <x v="10"/>
    <d v="2026-04-24T02:12:00"/>
    <d v="2026-04-24T08:14:00"/>
    <x v="2"/>
    <n v="16657"/>
    <s v="MOLETOM PA TUBULAR MARINHO"/>
    <x v="0"/>
    <x v="2"/>
    <x v="1"/>
    <x v="21"/>
    <x v="17"/>
    <x v="21"/>
  </r>
  <r>
    <x v="8"/>
    <x v="29"/>
    <x v="1"/>
    <x v="5"/>
    <d v="2026-04-24T02:29:00"/>
    <d v="2026-04-24T06:38:00"/>
    <x v="10"/>
    <n v="22638"/>
    <s v="RIBANA 2X1 24/1 OE CAQUI"/>
    <x v="1"/>
    <x v="0"/>
    <x v="3"/>
    <x v="20"/>
    <x v="16"/>
    <x v="20"/>
  </r>
  <r>
    <x v="8"/>
    <x v="30"/>
    <x v="1"/>
    <x v="5"/>
    <d v="2026-04-24T02:29:00"/>
    <d v="2026-04-24T06:38:00"/>
    <x v="4"/>
    <n v="308"/>
    <s v="M/M 30/1 PENTEADO CAQUI"/>
    <x v="1"/>
    <x v="0"/>
    <x v="3"/>
    <x v="20"/>
    <x v="16"/>
    <x v="20"/>
  </r>
  <r>
    <x v="9"/>
    <x v="31"/>
    <x v="1"/>
    <x v="2"/>
    <d v="2026-04-24T02:46:00"/>
    <d v="2026-04-24T06:26:00"/>
    <x v="8"/>
    <n v="2599"/>
    <s v="POLIÉSTER FIADO PRETO"/>
    <x v="1"/>
    <x v="3"/>
    <x v="3"/>
    <x v="20"/>
    <x v="16"/>
    <x v="20"/>
  </r>
  <r>
    <x v="9"/>
    <x v="32"/>
    <x v="1"/>
    <x v="2"/>
    <d v="2026-04-24T02:46:00"/>
    <d v="2026-04-24T06:26:00"/>
    <x v="11"/>
    <n v="951"/>
    <s v="HELANCA FLANELADA RAMADA PRETO"/>
    <x v="1"/>
    <x v="3"/>
    <x v="3"/>
    <x v="20"/>
    <x v="16"/>
    <x v="20"/>
  </r>
  <r>
    <x v="9"/>
    <x v="33"/>
    <x v="1"/>
    <x v="2"/>
    <d v="2026-04-24T02:46:00"/>
    <d v="2026-04-24T06:26:00"/>
    <x v="8"/>
    <n v="2599"/>
    <s v="POLIÉSTER FIADO PRETO"/>
    <x v="1"/>
    <x v="3"/>
    <x v="3"/>
    <x v="20"/>
    <x v="16"/>
    <x v="20"/>
  </r>
  <r>
    <x v="9"/>
    <x v="34"/>
    <x v="1"/>
    <x v="2"/>
    <d v="2026-04-24T02:46:00"/>
    <d v="2026-04-24T06:26:00"/>
    <x v="12"/>
    <n v="1839"/>
    <s v="HELANCA 100%PES PRETO"/>
    <x v="1"/>
    <x v="3"/>
    <x v="3"/>
    <x v="20"/>
    <x v="16"/>
    <x v="20"/>
  </r>
  <r>
    <x v="9"/>
    <x v="35"/>
    <x v="1"/>
    <x v="2"/>
    <d v="2026-04-24T02:46:00"/>
    <d v="2026-04-24T06:26:00"/>
    <x v="8"/>
    <n v="2599"/>
    <s v="POLIÉSTER FIADO PRETO"/>
    <x v="1"/>
    <x v="3"/>
    <x v="3"/>
    <x v="20"/>
    <x v="16"/>
    <x v="20"/>
  </r>
  <r>
    <x v="9"/>
    <x v="36"/>
    <x v="1"/>
    <x v="2"/>
    <d v="2026-04-24T02:46:00"/>
    <d v="2026-04-24T06:26:00"/>
    <x v="8"/>
    <n v="2599"/>
    <s v="POLIÉSTER FIADO PRETO"/>
    <x v="1"/>
    <x v="3"/>
    <x v="3"/>
    <x v="20"/>
    <x v="16"/>
    <x v="20"/>
  </r>
  <r>
    <x v="10"/>
    <x v="37"/>
    <x v="1"/>
    <x v="1"/>
    <d v="2026-04-24T03:47:00"/>
    <d v="2026-04-24T08:23:00"/>
    <x v="6"/>
    <n v="967"/>
    <s v="SUPLEX ESPECIAL MARINHO"/>
    <x v="0"/>
    <x v="1"/>
    <x v="3"/>
    <x v="20"/>
    <x v="16"/>
    <x v="20"/>
  </r>
  <r>
    <x v="10"/>
    <x v="38"/>
    <x v="1"/>
    <x v="1"/>
    <d v="2026-04-24T03:47:00"/>
    <d v="2026-04-24T08:23:00"/>
    <x v="6"/>
    <n v="967"/>
    <s v="SUPLEX ESPECIAL MARINHO"/>
    <x v="0"/>
    <x v="1"/>
    <x v="3"/>
    <x v="20"/>
    <x v="16"/>
    <x v="20"/>
  </r>
  <r>
    <x v="11"/>
    <x v="39"/>
    <x v="1"/>
    <x v="4"/>
    <d v="2026-04-24T03:48:00"/>
    <d v="2026-04-24T05:24:00"/>
    <x v="8"/>
    <n v="1825"/>
    <s v="POLIÉSTER FIADO BRANCO"/>
    <x v="0"/>
    <x v="1"/>
    <x v="3"/>
    <x v="20"/>
    <x v="16"/>
    <x v="20"/>
  </r>
  <r>
    <x v="11"/>
    <x v="40"/>
    <x v="1"/>
    <x v="4"/>
    <d v="2026-04-24T03:48:00"/>
    <d v="2026-04-24T05:24:00"/>
    <x v="8"/>
    <n v="1825"/>
    <s v="POLIÉSTER FIADO BRANCO"/>
    <x v="0"/>
    <x v="1"/>
    <x v="3"/>
    <x v="20"/>
    <x v="16"/>
    <x v="20"/>
  </r>
  <r>
    <x v="0"/>
    <x v="41"/>
    <x v="1"/>
    <x v="7"/>
    <d v="2026-04-24T03:57:00"/>
    <d v="2026-04-24T08:27:00"/>
    <x v="13"/>
    <n v="5782"/>
    <s v="HELANQUINHA DRY FIT PINK"/>
    <x v="1"/>
    <x v="0"/>
    <x v="3"/>
    <x v="20"/>
    <x v="16"/>
    <x v="20"/>
  </r>
  <r>
    <x v="0"/>
    <x v="42"/>
    <x v="1"/>
    <x v="6"/>
    <d v="2026-04-24T04:24:00"/>
    <d v="2026-04-24T13:13:00"/>
    <x v="5"/>
    <n v="1444"/>
    <s v="M/M 30/1 PV ROYAL"/>
    <x v="1"/>
    <x v="3"/>
    <x v="3"/>
    <x v="20"/>
    <x v="16"/>
    <x v="20"/>
  </r>
  <r>
    <x v="0"/>
    <x v="43"/>
    <x v="0"/>
    <x v="9"/>
    <d v="2026-04-24T04:25:00"/>
    <d v="2026-04-24T07:26:00"/>
    <x v="4"/>
    <n v="3481"/>
    <s v="M/M 30/1 PENTEADO AZUL CELESTE"/>
    <x v="0"/>
    <x v="2"/>
    <x v="1"/>
    <x v="22"/>
    <x v="7"/>
    <x v="22"/>
  </r>
  <r>
    <x v="12"/>
    <x v="44"/>
    <x v="1"/>
    <x v="4"/>
    <d v="2026-04-24T05:25:00"/>
    <d v="2026-04-24T07:01:00"/>
    <x v="8"/>
    <n v="1825"/>
    <s v="POLIÉSTER FIADO BRANCO"/>
    <x v="0"/>
    <x v="1"/>
    <x v="3"/>
    <x v="20"/>
    <x v="16"/>
    <x v="20"/>
  </r>
  <r>
    <x v="12"/>
    <x v="45"/>
    <x v="1"/>
    <x v="4"/>
    <d v="2026-04-24T05:25:00"/>
    <d v="2026-04-24T07:01:00"/>
    <x v="8"/>
    <n v="1825"/>
    <s v="POLIÉSTER FIADO BRANCO"/>
    <x v="0"/>
    <x v="1"/>
    <x v="3"/>
    <x v="20"/>
    <x v="16"/>
    <x v="20"/>
  </r>
  <r>
    <x v="0"/>
    <x v="46"/>
    <x v="0"/>
    <x v="8"/>
    <d v="2026-04-24T05:40:00"/>
    <d v="2026-04-24T12:39:00"/>
    <x v="3"/>
    <n v="1429"/>
    <s v="M/M 24/1 18 TRAMAS VERMELHO"/>
    <x v="0"/>
    <x v="2"/>
    <x v="1"/>
    <x v="23"/>
    <x v="18"/>
    <x v="23"/>
  </r>
  <r>
    <x v="0"/>
    <x v="47"/>
    <x v="1"/>
    <x v="0"/>
    <d v="2026-04-24T05:56:00"/>
    <d v="2026-04-24T11:57:00"/>
    <x v="3"/>
    <n v="1389"/>
    <s v="M/M 24/1 18 TRAMAS VERDE MILITAR"/>
    <x v="0"/>
    <x v="1"/>
    <x v="3"/>
    <x v="20"/>
    <x v="16"/>
    <x v="20"/>
  </r>
  <r>
    <x v="13"/>
    <x v="48"/>
    <x v="1"/>
    <x v="2"/>
    <d v="2026-04-24T06:27:00"/>
    <d v="2026-04-24T12:19:00"/>
    <x v="14"/>
    <n v="11858"/>
    <s v="RIBANA 2X1 24/1 PA PRETO"/>
    <x v="1"/>
    <x v="3"/>
    <x v="3"/>
    <x v="20"/>
    <x v="16"/>
    <x v="20"/>
  </r>
  <r>
    <x v="13"/>
    <x v="49"/>
    <x v="1"/>
    <x v="2"/>
    <d v="2026-04-24T06:27:00"/>
    <d v="2026-04-24T12:19:00"/>
    <x v="15"/>
    <n v="16000"/>
    <s v="PIQUE PA PRETO"/>
    <x v="1"/>
    <x v="3"/>
    <x v="3"/>
    <x v="20"/>
    <x v="16"/>
    <x v="20"/>
  </r>
  <r>
    <x v="13"/>
    <x v="50"/>
    <x v="1"/>
    <x v="2"/>
    <d v="2026-04-24T06:27:00"/>
    <d v="2026-04-24T12:19:00"/>
    <x v="14"/>
    <n v="606"/>
    <s v="RIBANA 2X1 24/1 PA PRETO"/>
    <x v="1"/>
    <x v="3"/>
    <x v="3"/>
    <x v="20"/>
    <x v="16"/>
    <x v="20"/>
  </r>
  <r>
    <x v="0"/>
    <x v="51"/>
    <x v="1"/>
    <x v="5"/>
    <d v="2026-04-24T06:39:00"/>
    <d v="2026-04-24T13:16:00"/>
    <x v="4"/>
    <n v="12535"/>
    <s v="M/M 30/1 PENTEADO ROSA CÍTRICO"/>
    <x v="1"/>
    <x v="3"/>
    <x v="3"/>
    <x v="20"/>
    <x v="16"/>
    <x v="20"/>
  </r>
  <r>
    <x v="14"/>
    <x v="52"/>
    <x v="1"/>
    <x v="4"/>
    <d v="2026-04-24T07:02:00"/>
    <d v="2026-04-24T09:21:00"/>
    <x v="3"/>
    <n v="254"/>
    <s v="M/M 24/1 18 TRAMAS MARFIM"/>
    <x v="0"/>
    <x v="1"/>
    <x v="3"/>
    <x v="20"/>
    <x v="16"/>
    <x v="20"/>
  </r>
  <r>
    <x v="14"/>
    <x v="53"/>
    <x v="1"/>
    <x v="4"/>
    <d v="2026-04-24T07:02:00"/>
    <d v="2026-04-24T09:21:00"/>
    <x v="3"/>
    <n v="254"/>
    <s v="M/M 24/1 18 TRAMAS MARFIM"/>
    <x v="0"/>
    <x v="1"/>
    <x v="3"/>
    <x v="20"/>
    <x v="16"/>
    <x v="20"/>
  </r>
  <r>
    <x v="0"/>
    <x v="54"/>
    <x v="1"/>
    <x v="3"/>
    <d v="2026-04-24T07:06:00"/>
    <d v="2026-04-24T13:43:00"/>
    <x v="3"/>
    <n v="1429"/>
    <s v="M/M 24/1 18 TRAMAS VERMELHO"/>
    <x v="0"/>
    <x v="1"/>
    <x v="3"/>
    <x v="20"/>
    <x v="16"/>
    <x v="20"/>
  </r>
  <r>
    <x v="0"/>
    <x v="55"/>
    <x v="1"/>
    <x v="9"/>
    <d v="2026-04-24T07:27:00"/>
    <d v="2026-04-24T10:27:00"/>
    <x v="1"/>
    <n v="2853"/>
    <s v="M/M 30/1 CARDADA OE AZUL BEBÊ"/>
    <x v="1"/>
    <x v="3"/>
    <x v="3"/>
    <x v="20"/>
    <x v="16"/>
    <x v="20"/>
  </r>
  <r>
    <x v="0"/>
    <x v="56"/>
    <x v="1"/>
    <x v="10"/>
    <d v="2026-04-24T08:15:00"/>
    <d v="2026-04-24T15:47:00"/>
    <x v="3"/>
    <n v="1439"/>
    <s v="M/M 24/1 18 TRAMAS ROYAL"/>
    <x v="0"/>
    <x v="1"/>
    <x v="3"/>
    <x v="20"/>
    <x v="16"/>
    <x v="20"/>
  </r>
  <r>
    <x v="15"/>
    <x v="57"/>
    <x v="1"/>
    <x v="1"/>
    <d v="2026-04-24T08:24:00"/>
    <d v="2026-04-24T16:06:00"/>
    <x v="3"/>
    <n v="1439"/>
    <s v="M/M 24/1 18 TRAMAS ROYAL"/>
    <x v="0"/>
    <x v="1"/>
    <x v="3"/>
    <x v="20"/>
    <x v="16"/>
    <x v="20"/>
  </r>
  <r>
    <x v="15"/>
    <x v="58"/>
    <x v="1"/>
    <x v="1"/>
    <d v="2026-04-24T08:24:00"/>
    <d v="2026-04-24T16:06:00"/>
    <x v="3"/>
    <n v="1439"/>
    <s v="M/M 24/1 18 TRAMAS ROYAL"/>
    <x v="0"/>
    <x v="1"/>
    <x v="3"/>
    <x v="20"/>
    <x v="16"/>
    <x v="20"/>
  </r>
  <r>
    <x v="0"/>
    <x v="59"/>
    <x v="1"/>
    <x v="7"/>
    <d v="2026-04-24T08:28:00"/>
    <d v="2026-04-24T12:52:00"/>
    <x v="6"/>
    <n v="1196"/>
    <s v="SUPLEX ESPECIAL PINK"/>
    <x v="1"/>
    <x v="3"/>
    <x v="3"/>
    <x v="20"/>
    <x v="16"/>
    <x v="20"/>
  </r>
  <r>
    <x v="16"/>
    <x v="60"/>
    <x v="1"/>
    <x v="4"/>
    <d v="2026-04-24T09:22:00"/>
    <d v="2026-04-24T10:58:00"/>
    <x v="8"/>
    <n v="1825"/>
    <s v="POLIÉSTER FIADO BRANCO"/>
    <x v="1"/>
    <x v="3"/>
    <x v="3"/>
    <x v="20"/>
    <x v="16"/>
    <x v="20"/>
  </r>
  <r>
    <x v="16"/>
    <x v="61"/>
    <x v="1"/>
    <x v="4"/>
    <d v="2026-04-24T09:22:00"/>
    <d v="2026-04-24T10:58:00"/>
    <x v="8"/>
    <n v="1825"/>
    <s v="POLIÉSTER FIADO BRANCO"/>
    <x v="1"/>
    <x v="0"/>
    <x v="3"/>
    <x v="20"/>
    <x v="16"/>
    <x v="20"/>
  </r>
  <r>
    <x v="0"/>
    <x v="62"/>
    <x v="1"/>
    <x v="9"/>
    <d v="2026-04-24T10:28:00"/>
    <d v="2026-04-24T13:28:00"/>
    <x v="4"/>
    <n v="463"/>
    <s v="M/M 30/1 PENTEADO AZUL BEBÊ"/>
    <x v="0"/>
    <x v="1"/>
    <x v="3"/>
    <x v="20"/>
    <x v="16"/>
    <x v="20"/>
  </r>
  <r>
    <x v="17"/>
    <x v="63"/>
    <x v="1"/>
    <x v="4"/>
    <d v="2026-04-24T10:59:00"/>
    <d v="2026-04-24T12:35:00"/>
    <x v="8"/>
    <n v="1825"/>
    <s v="POLIÉSTER FIADO BRANCO"/>
    <x v="1"/>
    <x v="3"/>
    <x v="3"/>
    <x v="20"/>
    <x v="16"/>
    <x v="20"/>
  </r>
  <r>
    <x v="17"/>
    <x v="64"/>
    <x v="1"/>
    <x v="4"/>
    <d v="2026-04-24T10:59:00"/>
    <d v="2026-04-24T12:35:00"/>
    <x v="8"/>
    <n v="1825"/>
    <s v="POLIÉSTER FIADO BRANCO"/>
    <x v="1"/>
    <x v="3"/>
    <x v="3"/>
    <x v="20"/>
    <x v="16"/>
    <x v="20"/>
  </r>
  <r>
    <x v="0"/>
    <x v="65"/>
    <x v="1"/>
    <x v="2"/>
    <d v="2026-04-24T12:20:00"/>
    <d v="2026-04-24T16:15:00"/>
    <x v="12"/>
    <n v="1840"/>
    <s v="HELANCA 100%PES MARINHO"/>
    <x v="1"/>
    <x v="3"/>
    <x v="3"/>
    <x v="20"/>
    <x v="16"/>
    <x v="20"/>
  </r>
  <r>
    <x v="18"/>
    <x v="66"/>
    <x v="1"/>
    <x v="4"/>
    <d v="2026-04-24T12:36:00"/>
    <d v="2026-04-24T14:12:00"/>
    <x v="8"/>
    <n v="1825"/>
    <s v="POLIÉSTER FIADO BRANCO"/>
    <x v="1"/>
    <x v="3"/>
    <x v="3"/>
    <x v="20"/>
    <x v="16"/>
    <x v="20"/>
  </r>
  <r>
    <x v="18"/>
    <x v="67"/>
    <x v="1"/>
    <x v="4"/>
    <d v="2026-04-24T12:36:00"/>
    <d v="2026-04-24T14:12:00"/>
    <x v="8"/>
    <n v="1825"/>
    <s v="POLIÉSTER FIADO BRANCO"/>
    <x v="1"/>
    <x v="3"/>
    <x v="3"/>
    <x v="20"/>
    <x v="16"/>
    <x v="20"/>
  </r>
  <r>
    <x v="0"/>
    <x v="68"/>
    <x v="1"/>
    <x v="8"/>
    <d v="2026-04-24T12:40:00"/>
    <d v="2026-04-24T16:51:00"/>
    <x v="8"/>
    <n v="3372"/>
    <s v="POLIESTER FIADO LARANJA"/>
    <x v="1"/>
    <x v="3"/>
    <x v="3"/>
    <x v="20"/>
    <x v="16"/>
    <x v="20"/>
  </r>
  <r>
    <x v="0"/>
    <x v="69"/>
    <x v="1"/>
    <x v="7"/>
    <d v="2026-04-24T12:53:00"/>
    <d v="2026-04-24T16:12:00"/>
    <x v="8"/>
    <n v="3992"/>
    <s v="POLIESTER FIADO PINK"/>
    <x v="1"/>
    <x v="3"/>
    <x v="3"/>
    <x v="20"/>
    <x v="16"/>
    <x v="20"/>
  </r>
  <r>
    <x v="0"/>
    <x v="70"/>
    <x v="1"/>
    <x v="3"/>
    <d v="2026-04-24T13:44:00"/>
    <d v="2026-04-24T20:21:00"/>
    <x v="3"/>
    <n v="1429"/>
    <s v="M/M 24/1 18 TRAMAS VERMELHO"/>
    <x v="0"/>
    <x v="1"/>
    <x v="3"/>
    <x v="20"/>
    <x v="16"/>
    <x v="20"/>
  </r>
  <r>
    <x v="19"/>
    <x v="71"/>
    <x v="1"/>
    <x v="4"/>
    <d v="2026-04-24T14:13:00"/>
    <d v="2026-04-24T20:13:00"/>
    <x v="3"/>
    <n v="1409"/>
    <s v="M/M 24/1 18 TRAMAS AMARELO CANÁRIO"/>
    <x v="1"/>
    <x v="3"/>
    <x v="3"/>
    <x v="20"/>
    <x v="16"/>
    <x v="20"/>
  </r>
  <r>
    <x v="19"/>
    <x v="72"/>
    <x v="1"/>
    <x v="4"/>
    <d v="2026-04-24T14:13:00"/>
    <d v="2026-04-24T20:13:00"/>
    <x v="3"/>
    <n v="1409"/>
    <s v="M/M 24/1 18 TRAMAS AMARELO CANÁRIO"/>
    <x v="1"/>
    <x v="3"/>
    <x v="3"/>
    <x v="20"/>
    <x v="16"/>
    <x v="20"/>
  </r>
  <r>
    <x v="0"/>
    <x v="73"/>
    <x v="1"/>
    <x v="10"/>
    <d v="2026-04-24T15:48:00"/>
    <d v="2026-04-24T21:04:00"/>
    <x v="0"/>
    <n v="12248"/>
    <s v="VISCOLYCRA VORTEX VERDE MILITAR"/>
    <x v="1"/>
    <x v="3"/>
    <x v="3"/>
    <x v="20"/>
    <x v="16"/>
    <x v="20"/>
  </r>
  <r>
    <x v="20"/>
    <x v="74"/>
    <x v="1"/>
    <x v="1"/>
    <d v="2026-04-24T16:07:00"/>
    <d v="2026-04-24T22:18:00"/>
    <x v="3"/>
    <n v="1389"/>
    <s v="M/M 24/1 18 TRAMAS VERDE MILITAR"/>
    <x v="1"/>
    <x v="0"/>
    <x v="3"/>
    <x v="20"/>
    <x v="16"/>
    <x v="20"/>
  </r>
  <r>
    <x v="20"/>
    <x v="75"/>
    <x v="1"/>
    <x v="1"/>
    <d v="2026-04-24T16:07:00"/>
    <d v="2026-04-24T22:18:00"/>
    <x v="3"/>
    <n v="1389"/>
    <s v="M/M 24/1 18 TRAMAS VERDE MILITAR"/>
    <x v="0"/>
    <x v="1"/>
    <x v="3"/>
    <x v="20"/>
    <x v="16"/>
    <x v="20"/>
  </r>
  <r>
    <x v="0"/>
    <x v="76"/>
    <x v="1"/>
    <x v="8"/>
    <d v="2026-04-24T16:52:00"/>
    <d v="2026-04-25T00:19:00"/>
    <x v="4"/>
    <n v="7409"/>
    <s v="M/M 30/1 PENTEADO CARAMELO"/>
    <x v="1"/>
    <x v="3"/>
    <x v="3"/>
    <x v="20"/>
    <x v="16"/>
    <x v="20"/>
  </r>
  <r>
    <x v="0"/>
    <x v="77"/>
    <x v="1"/>
    <x v="6"/>
    <d v="2026-04-24T18:36:00"/>
    <d v="2026-04-25T02:08:00"/>
    <x v="1"/>
    <n v="2742"/>
    <s v="M/M 30/1 CARDADA OE ROYAL"/>
    <x v="1"/>
    <x v="3"/>
    <x v="3"/>
    <x v="20"/>
    <x v="16"/>
    <x v="20"/>
  </r>
  <r>
    <x v="0"/>
    <x v="78"/>
    <x v="1"/>
    <x v="7"/>
    <d v="2026-04-24T19:38:00"/>
    <d v="2026-04-24T22:57:00"/>
    <x v="8"/>
    <n v="3992"/>
    <s v="POLIESTER FIADO PINK"/>
    <x v="1"/>
    <x v="3"/>
    <x v="3"/>
    <x v="20"/>
    <x v="16"/>
    <x v="20"/>
  </r>
  <r>
    <x v="21"/>
    <x v="79"/>
    <x v="1"/>
    <x v="4"/>
    <d v="2026-04-24T20:14:00"/>
    <d v="2026-04-25T03:01:00"/>
    <x v="3"/>
    <n v="1419"/>
    <s v="M/M 24/1 18 TRAMAS AMARELO OURO"/>
    <x v="1"/>
    <x v="3"/>
    <x v="3"/>
    <x v="20"/>
    <x v="16"/>
    <x v="20"/>
  </r>
  <r>
    <x v="21"/>
    <x v="80"/>
    <x v="1"/>
    <x v="4"/>
    <d v="2026-04-24T20:14:00"/>
    <d v="2026-04-25T03:01:00"/>
    <x v="3"/>
    <n v="1419"/>
    <s v="M/M 24/1 18 TRAMAS AMARELO OURO"/>
    <x v="1"/>
    <x v="3"/>
    <x v="3"/>
    <x v="20"/>
    <x v="16"/>
    <x v="20"/>
  </r>
  <r>
    <x v="0"/>
    <x v="81"/>
    <x v="1"/>
    <x v="3"/>
    <d v="2026-04-24T20:22:00"/>
    <d v="2026-04-25T02:59:00"/>
    <x v="3"/>
    <n v="1429"/>
    <s v="M/M 24/1 18 TRAMAS VERMELHO"/>
    <x v="0"/>
    <x v="1"/>
    <x v="3"/>
    <x v="20"/>
    <x v="16"/>
    <x v="20"/>
  </r>
  <r>
    <x v="22"/>
    <x v="82"/>
    <x v="1"/>
    <x v="1"/>
    <d v="2026-04-24T22:19:00"/>
    <d v="2026-04-25T01:42:00"/>
    <x v="8"/>
    <n v="3989"/>
    <s v="POLIÉSTER FIADO VERDE MILITAR"/>
    <x v="1"/>
    <x v="3"/>
    <x v="3"/>
    <x v="20"/>
    <x v="16"/>
    <x v="20"/>
  </r>
  <r>
    <x v="22"/>
    <x v="83"/>
    <x v="1"/>
    <x v="1"/>
    <d v="2026-04-24T22:19:00"/>
    <d v="2026-04-25T01:42:00"/>
    <x v="8"/>
    <n v="3989"/>
    <s v="POLIÉSTER FIADO VERDE MILITAR"/>
    <x v="1"/>
    <x v="3"/>
    <x v="3"/>
    <x v="20"/>
    <x v="16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95" firstHeaderRow="1" firstDataRow="1" firstDataCol="1" rowPageCount="1" colPageCount="1"/>
  <pivotFields count="15">
    <pivotField axis="axisRow" showAll="0" defaultSubtotal="0">
      <items count="23">
        <item x="0"/>
        <item x="1"/>
        <item x="2"/>
        <item x="3"/>
        <item x="4"/>
        <item x="5"/>
        <item x="6"/>
        <item x="7"/>
        <item x="10"/>
        <item x="9"/>
        <item x="11"/>
        <item x="12"/>
        <item x="14"/>
        <item x="15"/>
        <item x="16"/>
        <item x="17"/>
        <item x="20"/>
        <item x="8"/>
        <item x="13"/>
        <item x="18"/>
        <item x="19"/>
        <item x="21"/>
        <item x="22"/>
      </items>
    </pivotField>
    <pivotField axis="axisRow" showAll="0" sortType="ascending" defaultSubtotal="0">
      <items count="84">
        <item x="2"/>
        <item x="1"/>
        <item x="3"/>
        <item x="0"/>
        <item x="4"/>
        <item x="6"/>
        <item x="5"/>
        <item x="7"/>
        <item x="10"/>
        <item x="8"/>
        <item x="9"/>
        <item x="11"/>
        <item x="14"/>
        <item x="13"/>
        <item x="12"/>
        <item x="17"/>
        <item x="16"/>
        <item x="20"/>
        <item x="21"/>
        <item x="19"/>
        <item x="18"/>
        <item x="25"/>
        <item x="24"/>
        <item x="15"/>
        <item x="22"/>
        <item x="26"/>
        <item x="27"/>
        <item x="28"/>
        <item x="37"/>
        <item x="38"/>
        <item x="32"/>
        <item x="31"/>
        <item x="36"/>
        <item x="35"/>
        <item x="34"/>
        <item x="33"/>
        <item x="43"/>
        <item x="41"/>
        <item x="40"/>
        <item x="39"/>
        <item x="45"/>
        <item x="44"/>
        <item x="53"/>
        <item x="52"/>
        <item x="54"/>
        <item x="58"/>
        <item x="57"/>
        <item x="59"/>
        <item x="47"/>
        <item x="61"/>
        <item x="60"/>
        <item x="46"/>
        <item x="63"/>
        <item x="64"/>
        <item x="69"/>
        <item x="65"/>
        <item x="70"/>
        <item x="75"/>
        <item x="74"/>
        <item x="68"/>
        <item x="81"/>
        <item x="78"/>
        <item x="23"/>
        <item x="29"/>
        <item x="30"/>
        <item x="42"/>
        <item x="49"/>
        <item x="48"/>
        <item x="50"/>
        <item x="51"/>
        <item x="56"/>
        <item x="67"/>
        <item x="66"/>
        <item x="72"/>
        <item x="71"/>
        <item x="73"/>
        <item x="76"/>
        <item x="79"/>
        <item x="80"/>
        <item x="83"/>
        <item x="82"/>
        <item x="55"/>
        <item x="62"/>
        <item x="7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0"/>
        <item x="9"/>
        <item x="10"/>
        <item x="7"/>
        <item x="6"/>
        <item x="2"/>
        <item x="3"/>
        <item x="5"/>
        <item x="4"/>
        <item x="8"/>
        <item x="1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92">
    <i>
      <x/>
    </i>
    <i r="1">
      <x/>
    </i>
    <i r="2">
      <x v="48"/>
    </i>
    <i>
      <x v="1"/>
    </i>
    <i r="1">
      <x/>
    </i>
    <i r="2">
      <x v="81"/>
    </i>
    <i r="2">
      <x v="82"/>
    </i>
    <i>
      <x v="2"/>
    </i>
    <i r="1">
      <x/>
    </i>
    <i r="2">
      <x v="70"/>
    </i>
    <i r="2">
      <x v="75"/>
    </i>
    <i>
      <x v="3"/>
    </i>
    <i r="1">
      <x/>
    </i>
    <i r="2">
      <x v="37"/>
    </i>
    <i r="2">
      <x v="47"/>
    </i>
    <i r="2">
      <x v="54"/>
    </i>
    <i r="2">
      <x v="61"/>
    </i>
    <i>
      <x v="4"/>
    </i>
    <i r="1">
      <x/>
    </i>
    <i r="2">
      <x v="65"/>
    </i>
    <i r="2">
      <x v="83"/>
    </i>
    <i>
      <x v="5"/>
    </i>
    <i r="1">
      <x/>
    </i>
    <i r="2">
      <x v="55"/>
    </i>
    <i r="1">
      <x v="9"/>
    </i>
    <i r="2">
      <x v="32"/>
    </i>
    <i r="2">
      <x v="33"/>
    </i>
    <i r="2">
      <x v="31"/>
    </i>
    <i r="2">
      <x v="34"/>
    </i>
    <i r="2">
      <x v="30"/>
    </i>
    <i r="2">
      <x v="35"/>
    </i>
    <i r="1">
      <x v="18"/>
    </i>
    <i r="2">
      <x v="67"/>
    </i>
    <i r="2">
      <x v="66"/>
    </i>
    <i r="2">
      <x v="68"/>
    </i>
    <i>
      <x v="6"/>
    </i>
    <i r="1">
      <x/>
    </i>
    <i r="2">
      <x v="44"/>
    </i>
    <i r="2">
      <x v="56"/>
    </i>
    <i r="2">
      <x v="60"/>
    </i>
    <i>
      <x v="7"/>
    </i>
    <i r="1">
      <x/>
    </i>
    <i r="2">
      <x v="69"/>
    </i>
    <i r="1">
      <x v="17"/>
    </i>
    <i r="2">
      <x v="63"/>
    </i>
    <i r="2">
      <x v="64"/>
    </i>
    <i>
      <x v="8"/>
    </i>
    <i r="1">
      <x v="7"/>
    </i>
    <i r="2">
      <x v="25"/>
    </i>
    <i r="2">
      <x v="26"/>
    </i>
    <i r="1">
      <x v="10"/>
    </i>
    <i r="2">
      <x v="38"/>
    </i>
    <i r="2">
      <x v="39"/>
    </i>
    <i r="1">
      <x v="11"/>
    </i>
    <i r="2">
      <x v="40"/>
    </i>
    <i r="2">
      <x v="41"/>
    </i>
    <i r="1">
      <x v="12"/>
    </i>
    <i r="2">
      <x v="42"/>
    </i>
    <i r="2">
      <x v="43"/>
    </i>
    <i r="1">
      <x v="14"/>
    </i>
    <i r="2">
      <x v="49"/>
    </i>
    <i r="2">
      <x v="50"/>
    </i>
    <i r="1">
      <x v="15"/>
    </i>
    <i r="2">
      <x v="52"/>
    </i>
    <i r="2">
      <x v="53"/>
    </i>
    <i r="1">
      <x v="19"/>
    </i>
    <i r="2">
      <x v="71"/>
    </i>
    <i r="2">
      <x v="72"/>
    </i>
    <i r="1">
      <x v="20"/>
    </i>
    <i r="2">
      <x v="73"/>
    </i>
    <i r="2">
      <x v="74"/>
    </i>
    <i r="1">
      <x v="21"/>
    </i>
    <i r="2">
      <x v="77"/>
    </i>
    <i r="2">
      <x v="78"/>
    </i>
    <i>
      <x v="9"/>
    </i>
    <i r="1">
      <x/>
    </i>
    <i r="2">
      <x v="59"/>
    </i>
    <i r="2">
      <x v="76"/>
    </i>
    <i>
      <x v="10"/>
    </i>
    <i r="1">
      <x v="8"/>
    </i>
    <i r="2">
      <x v="28"/>
    </i>
    <i r="2">
      <x v="29"/>
    </i>
    <i r="1">
      <x v="13"/>
    </i>
    <i r="2">
      <x v="45"/>
    </i>
    <i r="2">
      <x v="46"/>
    </i>
    <i r="1">
      <x v="16"/>
    </i>
    <i r="2">
      <x v="57"/>
    </i>
    <i r="2">
      <x v="58"/>
    </i>
    <i r="1">
      <x v="22"/>
    </i>
    <i r="2">
      <x v="79"/>
    </i>
    <i r="2">
      <x v="80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acacio.klann@costaricamalhas.ind.br" TargetMode="External"/><Relationship Id="rId1" Type="http://schemas.openxmlformats.org/officeDocument/2006/relationships/hyperlink" Target="mailto:gabriel.dias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11"/>
  <sheetViews>
    <sheetView workbookViewId="0">
      <selection activeCell="B10" sqref="B10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s="7" t="s">
        <v>18</v>
      </c>
      <c r="B2" s="6"/>
    </row>
    <row r="11" spans="1:2" x14ac:dyDescent="0.25">
      <c r="A11" s="8" t="s">
        <v>17</v>
      </c>
    </row>
  </sheetData>
  <hyperlinks>
    <hyperlink ref="A2" r:id="rId1" xr:uid="{811EBA54-8D13-425A-801A-7A1CD827A3DA}"/>
    <hyperlink ref="A11" r:id="rId2" xr:uid="{46C40C0C-744B-45E7-9BD6-070611AFA211}"/>
  </hyperlink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95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173829</v>
      </c>
      <c r="B6" s="5">
        <v>46136.24722222222</v>
      </c>
    </row>
    <row r="7" spans="1:2" x14ac:dyDescent="0.25">
      <c r="A7" s="2" t="s">
        <v>19</v>
      </c>
      <c r="B7" s="5"/>
    </row>
    <row r="8" spans="1:2" x14ac:dyDescent="0.25">
      <c r="A8" s="3">
        <v>0</v>
      </c>
      <c r="B8" s="5"/>
    </row>
    <row r="9" spans="1:2" x14ac:dyDescent="0.25">
      <c r="A9" s="4">
        <v>173851</v>
      </c>
      <c r="B9" s="5">
        <v>46136.310416666667</v>
      </c>
    </row>
    <row r="10" spans="1:2" x14ac:dyDescent="0.25">
      <c r="A10" s="4">
        <v>173874</v>
      </c>
      <c r="B10" s="5">
        <v>46136.436111111114</v>
      </c>
    </row>
    <row r="11" spans="1:2" x14ac:dyDescent="0.25">
      <c r="A11" s="2" t="s">
        <v>9</v>
      </c>
      <c r="B11" s="5"/>
    </row>
    <row r="12" spans="1:2" x14ac:dyDescent="0.25">
      <c r="A12" s="3">
        <v>0</v>
      </c>
      <c r="B12" s="5"/>
    </row>
    <row r="13" spans="1:2" x14ac:dyDescent="0.25">
      <c r="A13" s="4">
        <v>174420</v>
      </c>
      <c r="B13" s="5">
        <v>46136.34375</v>
      </c>
    </row>
    <row r="14" spans="1:2" x14ac:dyDescent="0.25">
      <c r="A14" s="4">
        <v>174189</v>
      </c>
      <c r="B14" s="5">
        <v>46136.658333333333</v>
      </c>
    </row>
    <row r="15" spans="1:2" x14ac:dyDescent="0.25">
      <c r="A15" s="2" t="s">
        <v>10</v>
      </c>
      <c r="B15" s="5"/>
    </row>
    <row r="16" spans="1:2" x14ac:dyDescent="0.25">
      <c r="A16" s="3">
        <v>0</v>
      </c>
      <c r="B16" s="5"/>
    </row>
    <row r="17" spans="1:2" x14ac:dyDescent="0.25">
      <c r="A17" s="4">
        <v>173928</v>
      </c>
      <c r="B17" s="5">
        <v>46136.164583333331</v>
      </c>
    </row>
    <row r="18" spans="1:2" x14ac:dyDescent="0.25">
      <c r="A18" s="4">
        <v>174240</v>
      </c>
      <c r="B18" s="5">
        <v>46136.352777777778</v>
      </c>
    </row>
    <row r="19" spans="1:2" x14ac:dyDescent="0.25">
      <c r="A19" s="4">
        <v>174247</v>
      </c>
      <c r="B19" s="5">
        <v>46136.536805555559</v>
      </c>
    </row>
    <row r="20" spans="1:2" x14ac:dyDescent="0.25">
      <c r="A20" s="4">
        <v>174281</v>
      </c>
      <c r="B20" s="5">
        <v>46136.818055555559</v>
      </c>
    </row>
    <row r="21" spans="1:2" x14ac:dyDescent="0.25">
      <c r="A21" s="2" t="s">
        <v>6</v>
      </c>
      <c r="B21" s="5"/>
    </row>
    <row r="22" spans="1:2" x14ac:dyDescent="0.25">
      <c r="A22" s="3">
        <v>0</v>
      </c>
      <c r="B22" s="5"/>
    </row>
    <row r="23" spans="1:2" x14ac:dyDescent="0.25">
      <c r="A23" s="4">
        <v>174227</v>
      </c>
      <c r="B23" s="5">
        <v>46136.183333333334</v>
      </c>
    </row>
    <row r="24" spans="1:2" x14ac:dyDescent="0.25">
      <c r="A24" s="4">
        <v>173863</v>
      </c>
      <c r="B24" s="5">
        <v>46136.775000000001</v>
      </c>
    </row>
    <row r="25" spans="1:2" x14ac:dyDescent="0.25">
      <c r="A25" s="2" t="s">
        <v>11</v>
      </c>
      <c r="B25" s="5"/>
    </row>
    <row r="26" spans="1:2" x14ac:dyDescent="0.25">
      <c r="A26" s="3">
        <v>0</v>
      </c>
      <c r="B26" s="5"/>
    </row>
    <row r="27" spans="1:2" x14ac:dyDescent="0.25">
      <c r="A27" s="4">
        <v>173933</v>
      </c>
      <c r="B27" s="5">
        <v>46136.513888888891</v>
      </c>
    </row>
    <row r="28" spans="1:2" x14ac:dyDescent="0.25">
      <c r="A28" s="3">
        <v>185938</v>
      </c>
      <c r="B28" s="5"/>
    </row>
    <row r="29" spans="1:2" x14ac:dyDescent="0.25">
      <c r="A29" s="4">
        <v>174024</v>
      </c>
      <c r="B29" s="5">
        <v>46136.115277777775</v>
      </c>
    </row>
    <row r="30" spans="1:2" x14ac:dyDescent="0.25">
      <c r="A30" s="4">
        <v>174025</v>
      </c>
      <c r="B30" s="5">
        <v>46136.115277777775</v>
      </c>
    </row>
    <row r="31" spans="1:2" x14ac:dyDescent="0.25">
      <c r="A31" s="4">
        <v>174028</v>
      </c>
      <c r="B31" s="5">
        <v>46136.115277777775</v>
      </c>
    </row>
    <row r="32" spans="1:2" x14ac:dyDescent="0.25">
      <c r="A32" s="4">
        <v>173797</v>
      </c>
      <c r="B32" s="5">
        <v>46136.115277777775</v>
      </c>
    </row>
    <row r="33" spans="1:2" x14ac:dyDescent="0.25">
      <c r="A33" s="4">
        <v>173250</v>
      </c>
      <c r="B33" s="5">
        <v>46136.115277777775</v>
      </c>
    </row>
    <row r="34" spans="1:2" x14ac:dyDescent="0.25">
      <c r="A34" s="4">
        <v>174407</v>
      </c>
      <c r="B34" s="5">
        <v>46136.115277777775</v>
      </c>
    </row>
    <row r="35" spans="1:2" x14ac:dyDescent="0.25">
      <c r="A35" s="3">
        <v>185811</v>
      </c>
      <c r="B35" s="5"/>
    </row>
    <row r="36" spans="1:2" x14ac:dyDescent="0.25">
      <c r="A36" s="4">
        <v>173225</v>
      </c>
      <c r="B36" s="5">
        <v>46136.268750000003</v>
      </c>
    </row>
    <row r="37" spans="1:2" x14ac:dyDescent="0.25">
      <c r="A37" s="4">
        <v>173227</v>
      </c>
      <c r="B37" s="5">
        <v>46136.268750000003</v>
      </c>
    </row>
    <row r="38" spans="1:2" x14ac:dyDescent="0.25">
      <c r="A38" s="4">
        <v>173226</v>
      </c>
      <c r="B38" s="5">
        <v>46136.268750000003</v>
      </c>
    </row>
    <row r="39" spans="1:2" x14ac:dyDescent="0.25">
      <c r="A39" s="2" t="s">
        <v>12</v>
      </c>
      <c r="B39" s="5"/>
    </row>
    <row r="40" spans="1:2" x14ac:dyDescent="0.25">
      <c r="A40" s="3">
        <v>0</v>
      </c>
      <c r="B40" s="5"/>
    </row>
    <row r="41" spans="1:2" x14ac:dyDescent="0.25">
      <c r="A41" s="4">
        <v>173840</v>
      </c>
      <c r="B41" s="5">
        <v>46136.29583333333</v>
      </c>
    </row>
    <row r="42" spans="1:2" x14ac:dyDescent="0.25">
      <c r="A42" s="4">
        <v>173841</v>
      </c>
      <c r="B42" s="5">
        <v>46136.572222222225</v>
      </c>
    </row>
    <row r="43" spans="1:2" x14ac:dyDescent="0.25">
      <c r="A43" s="4">
        <v>173842</v>
      </c>
      <c r="B43" s="5">
        <v>46136.848611111112</v>
      </c>
    </row>
    <row r="44" spans="1:2" x14ac:dyDescent="0.25">
      <c r="A44" s="2" t="s">
        <v>14</v>
      </c>
      <c r="B44" s="5"/>
    </row>
    <row r="45" spans="1:2" x14ac:dyDescent="0.25">
      <c r="A45" s="3">
        <v>0</v>
      </c>
      <c r="B45" s="5"/>
    </row>
    <row r="46" spans="1:2" x14ac:dyDescent="0.25">
      <c r="A46" s="4">
        <v>173888</v>
      </c>
      <c r="B46" s="5">
        <v>46136.277083333334</v>
      </c>
    </row>
    <row r="47" spans="1:2" x14ac:dyDescent="0.25">
      <c r="A47" s="3">
        <v>185964</v>
      </c>
      <c r="B47" s="5"/>
    </row>
    <row r="48" spans="1:2" x14ac:dyDescent="0.25">
      <c r="A48" s="4">
        <v>174256</v>
      </c>
      <c r="B48" s="5">
        <v>46136.103472222225</v>
      </c>
    </row>
    <row r="49" spans="1:2" x14ac:dyDescent="0.25">
      <c r="A49" s="4">
        <v>174251</v>
      </c>
      <c r="B49" s="5">
        <v>46136.103472222225</v>
      </c>
    </row>
    <row r="50" spans="1:2" x14ac:dyDescent="0.25">
      <c r="A50" s="2" t="s">
        <v>7</v>
      </c>
      <c r="B50" s="5"/>
    </row>
    <row r="51" spans="1:2" x14ac:dyDescent="0.25">
      <c r="A51" s="3">
        <v>185926</v>
      </c>
      <c r="B51" s="5"/>
    </row>
    <row r="52" spans="1:2" x14ac:dyDescent="0.25">
      <c r="A52" s="4">
        <v>172820</v>
      </c>
      <c r="B52" s="5">
        <v>46136.09097222222</v>
      </c>
    </row>
    <row r="53" spans="1:2" x14ac:dyDescent="0.25">
      <c r="A53" s="4">
        <v>172821</v>
      </c>
      <c r="B53" s="5">
        <v>46136.09097222222</v>
      </c>
    </row>
    <row r="54" spans="1:2" x14ac:dyDescent="0.25">
      <c r="A54" s="3">
        <v>185927</v>
      </c>
      <c r="B54" s="5"/>
    </row>
    <row r="55" spans="1:2" x14ac:dyDescent="0.25">
      <c r="A55" s="4">
        <v>172823</v>
      </c>
      <c r="B55" s="5">
        <v>46136.158333333333</v>
      </c>
    </row>
    <row r="56" spans="1:2" x14ac:dyDescent="0.25">
      <c r="A56" s="4">
        <v>172822</v>
      </c>
      <c r="B56" s="5">
        <v>46136.158333333333</v>
      </c>
    </row>
    <row r="57" spans="1:2" x14ac:dyDescent="0.25">
      <c r="A57" s="3">
        <v>185928</v>
      </c>
      <c r="B57" s="5"/>
    </row>
    <row r="58" spans="1:2" x14ac:dyDescent="0.25">
      <c r="A58" s="4">
        <v>172824</v>
      </c>
      <c r="B58" s="5">
        <v>46136.225694444445</v>
      </c>
    </row>
    <row r="59" spans="1:2" x14ac:dyDescent="0.25">
      <c r="A59" s="4">
        <v>172825</v>
      </c>
      <c r="B59" s="5">
        <v>46136.225694444445</v>
      </c>
    </row>
    <row r="60" spans="1:2" x14ac:dyDescent="0.25">
      <c r="A60" s="3">
        <v>185990</v>
      </c>
      <c r="B60" s="5"/>
    </row>
    <row r="61" spans="1:2" x14ac:dyDescent="0.25">
      <c r="A61" s="4">
        <v>174203</v>
      </c>
      <c r="B61" s="5">
        <v>46136.293055555558</v>
      </c>
    </row>
    <row r="62" spans="1:2" x14ac:dyDescent="0.25">
      <c r="A62" s="4">
        <v>174204</v>
      </c>
      <c r="B62" s="5">
        <v>46136.293055555558</v>
      </c>
    </row>
    <row r="63" spans="1:2" x14ac:dyDescent="0.25">
      <c r="A63" s="3">
        <v>185929</v>
      </c>
      <c r="B63" s="5"/>
    </row>
    <row r="64" spans="1:2" x14ac:dyDescent="0.25">
      <c r="A64" s="4">
        <v>172827</v>
      </c>
      <c r="B64" s="5">
        <v>46136.390277777777</v>
      </c>
    </row>
    <row r="65" spans="1:2" x14ac:dyDescent="0.25">
      <c r="A65" s="4">
        <v>172826</v>
      </c>
      <c r="B65" s="5">
        <v>46136.390277777777</v>
      </c>
    </row>
    <row r="66" spans="1:2" x14ac:dyDescent="0.25">
      <c r="A66" s="3">
        <v>185930</v>
      </c>
      <c r="B66" s="5"/>
    </row>
    <row r="67" spans="1:2" x14ac:dyDescent="0.25">
      <c r="A67" s="4">
        <v>172829</v>
      </c>
      <c r="B67" s="5">
        <v>46136.457638888889</v>
      </c>
    </row>
    <row r="68" spans="1:2" x14ac:dyDescent="0.25">
      <c r="A68" s="4">
        <v>172828</v>
      </c>
      <c r="B68" s="5">
        <v>46136.457638888889</v>
      </c>
    </row>
    <row r="69" spans="1:2" x14ac:dyDescent="0.25">
      <c r="A69" s="3">
        <v>185931</v>
      </c>
      <c r="B69" s="5"/>
    </row>
    <row r="70" spans="1:2" x14ac:dyDescent="0.25">
      <c r="A70" s="4">
        <v>172830</v>
      </c>
      <c r="B70" s="5">
        <v>46136.525000000001</v>
      </c>
    </row>
    <row r="71" spans="1:2" x14ac:dyDescent="0.25">
      <c r="A71" s="4">
        <v>172831</v>
      </c>
      <c r="B71" s="5">
        <v>46136.525000000001</v>
      </c>
    </row>
    <row r="72" spans="1:2" x14ac:dyDescent="0.25">
      <c r="A72" s="3">
        <v>185997</v>
      </c>
      <c r="B72" s="5"/>
    </row>
    <row r="73" spans="1:2" x14ac:dyDescent="0.25">
      <c r="A73" s="4">
        <v>173833</v>
      </c>
      <c r="B73" s="5">
        <v>46136.592361111114</v>
      </c>
    </row>
    <row r="74" spans="1:2" x14ac:dyDescent="0.25">
      <c r="A74" s="4">
        <v>173834</v>
      </c>
      <c r="B74" s="5">
        <v>46136.592361111114</v>
      </c>
    </row>
    <row r="75" spans="1:2" x14ac:dyDescent="0.25">
      <c r="A75" s="3">
        <v>185996</v>
      </c>
      <c r="B75" s="5"/>
    </row>
    <row r="76" spans="1:2" x14ac:dyDescent="0.25">
      <c r="A76" s="4">
        <v>173837</v>
      </c>
      <c r="B76" s="5">
        <v>46136.843055555553</v>
      </c>
    </row>
    <row r="77" spans="1:2" x14ac:dyDescent="0.25">
      <c r="A77" s="4">
        <v>173836</v>
      </c>
      <c r="B77" s="5">
        <v>46136.843055555553</v>
      </c>
    </row>
    <row r="78" spans="1:2" x14ac:dyDescent="0.25">
      <c r="A78" s="2" t="s">
        <v>8</v>
      </c>
      <c r="B78" s="5"/>
    </row>
    <row r="79" spans="1:2" x14ac:dyDescent="0.25">
      <c r="A79" s="3">
        <v>0</v>
      </c>
      <c r="B79" s="5"/>
    </row>
    <row r="80" spans="1:2" x14ac:dyDescent="0.25">
      <c r="A80" s="4">
        <v>173966</v>
      </c>
      <c r="B80" s="5">
        <v>46136.527777777781</v>
      </c>
    </row>
    <row r="81" spans="1:2" x14ac:dyDescent="0.25">
      <c r="A81" s="4">
        <v>173878</v>
      </c>
      <c r="B81" s="5">
        <v>46136.702777777777</v>
      </c>
    </row>
    <row r="82" spans="1:2" x14ac:dyDescent="0.25">
      <c r="A82" s="2" t="s">
        <v>13</v>
      </c>
      <c r="B82" s="5"/>
    </row>
    <row r="83" spans="1:2" x14ac:dyDescent="0.25">
      <c r="A83" s="3">
        <v>186005</v>
      </c>
      <c r="B83" s="5"/>
    </row>
    <row r="84" spans="1:2" x14ac:dyDescent="0.25">
      <c r="A84" s="4">
        <v>173956</v>
      </c>
      <c r="B84" s="5">
        <v>46136.157638888886</v>
      </c>
    </row>
    <row r="85" spans="1:2" x14ac:dyDescent="0.25">
      <c r="A85" s="4">
        <v>173955</v>
      </c>
      <c r="B85" s="5">
        <v>46136.157638888886</v>
      </c>
    </row>
    <row r="86" spans="1:2" x14ac:dyDescent="0.25">
      <c r="A86" s="3">
        <v>186004</v>
      </c>
      <c r="B86" s="5"/>
    </row>
    <row r="87" spans="1:2" x14ac:dyDescent="0.25">
      <c r="A87" s="4">
        <v>174422</v>
      </c>
      <c r="B87" s="5">
        <v>46136.35</v>
      </c>
    </row>
    <row r="88" spans="1:2" x14ac:dyDescent="0.25">
      <c r="A88" s="4">
        <v>174421</v>
      </c>
      <c r="B88" s="5">
        <v>46136.35</v>
      </c>
    </row>
    <row r="89" spans="1:2" x14ac:dyDescent="0.25">
      <c r="A89" s="3">
        <v>186010</v>
      </c>
      <c r="B89" s="5"/>
    </row>
    <row r="90" spans="1:2" x14ac:dyDescent="0.25">
      <c r="A90" s="4">
        <v>173828</v>
      </c>
      <c r="B90" s="5">
        <v>46136.671527777777</v>
      </c>
    </row>
    <row r="91" spans="1:2" x14ac:dyDescent="0.25">
      <c r="A91" s="4">
        <v>173827</v>
      </c>
      <c r="B91" s="5">
        <v>46136.671527777777</v>
      </c>
    </row>
    <row r="92" spans="1:2" x14ac:dyDescent="0.25">
      <c r="A92" s="3">
        <v>186003</v>
      </c>
      <c r="B92" s="5"/>
    </row>
    <row r="93" spans="1:2" x14ac:dyDescent="0.25">
      <c r="A93" s="4">
        <v>173964</v>
      </c>
      <c r="B93" s="5">
        <v>46136.929861111108</v>
      </c>
    </row>
    <row r="94" spans="1:2" x14ac:dyDescent="0.25">
      <c r="A94" s="4">
        <v>173965</v>
      </c>
      <c r="B94" s="5">
        <v>46136.929861111108</v>
      </c>
    </row>
    <row r="95" spans="1:2" x14ac:dyDescent="0.25">
      <c r="A95" s="2" t="s">
        <v>1</v>
      </c>
      <c r="B95" s="5">
        <v>46136.09097222222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2026-04-24T01:23:52Z</dcterms:modified>
</cp:coreProperties>
</file>