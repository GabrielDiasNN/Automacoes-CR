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26E2395D-70C1-4420-A56D-98247C8739AE}" xr6:coauthVersionLast="47" xr6:coauthVersionMax="47" xr10:uidLastSave="{00000000-0000-0000-0000-000000000000}"/>
  <bookViews>
    <workbookView xWindow="1170" yWindow="1170" windowWidth="28800" windowHeight="11385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<sst xmlns="http://schemas.openxmlformats.org/spreadsheetml/2006/main" count="19" uniqueCount="19">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</sst>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11.665485995371" missingItemsLimit="0" createdVersion="7" refreshedVersion="7" minRefreshableVersion="3" recordCount="104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711" count="25">
        <n v="185607"/>
        <n v="185681"/>
        <n v="0"/>
        <n v="185644"/>
        <n v="185699"/>
        <n v="185643"/>
        <n v="185606"/>
        <n v="185711"/>
        <n v="185710"/>
        <n v="185677"/>
        <n v="185642"/>
        <n v="185603"/>
        <n v="185641"/>
        <n v="185640"/>
        <n v="185639"/>
        <n v="185604"/>
        <n v="185676"/>
        <n v="185638"/>
        <n v="185637"/>
        <n v="185636"/>
        <n v="185635"/>
        <n v="185634"/>
        <n v="185679"/>
        <n v="185678"/>
        <n v="185645"/>
      </sharedItems>
    </cacheField>
    <cacheField name="NUMERO_OB" numFmtId="0">
      <sharedItems containsSemiMixedTypes="0" containsString="0" containsNumber="1" containsInteger="1" minValue="171059" maxValue="172190" count="104">
        <n v="171812"/>
        <n v="171813"/>
        <n v="171861"/>
        <n v="171862"/>
        <n v="171869"/>
        <n v="171061"/>
        <n v="171842"/>
        <n v="171807"/>
        <n v="171798"/>
        <n v="171476"/>
        <n v="171889"/>
        <n v="171996"/>
        <n v="171475"/>
        <n v="171825"/>
        <n v="172189"/>
        <n v="172190"/>
        <n v="172016"/>
        <n v="171478"/>
        <n v="171477"/>
        <n v="171815"/>
        <n v="171814"/>
        <n v="171847"/>
        <n v="171978"/>
        <n v="171843"/>
        <n v="171844"/>
        <n v="171826"/>
        <n v="171848"/>
        <n v="171797"/>
        <n v="171775"/>
        <n v="172063"/>
        <n v="171846"/>
        <n v="171845"/>
        <n v="171973"/>
        <n v="171969"/>
        <n v="171968"/>
        <n v="171062"/>
        <n v="171804"/>
        <n v="171868"/>
        <n v="171822"/>
        <n v="171479"/>
        <n v="171480"/>
        <n v="171827"/>
        <n v="171764"/>
        <n v="171781"/>
        <n v="171779"/>
        <n v="171482"/>
        <n v="171481"/>
        <n v="172064"/>
        <n v="171789"/>
        <n v="171823"/>
        <n v="171777"/>
        <n v="171851"/>
        <n v="171484"/>
        <n v="171483"/>
        <n v="171765"/>
        <n v="171828"/>
        <n v="171486"/>
        <n v="171485"/>
        <n v="171776"/>
        <n v="171824"/>
        <n v="171949"/>
        <n v="171782"/>
        <n v="171780"/>
        <n v="171854"/>
        <n v="171970"/>
        <n v="171971"/>
        <n v="171059"/>
        <n v="171487"/>
        <n v="171488"/>
        <n v="171829"/>
        <n v="171489"/>
        <n v="171490"/>
        <n v="171857"/>
        <n v="171870"/>
        <n v="171922"/>
        <n v="172000"/>
        <n v="171492"/>
        <n v="171491"/>
        <n v="171830"/>
        <n v="171494"/>
        <n v="171493"/>
        <n v="171972"/>
        <n v="171806"/>
        <n v="171863"/>
        <n v="171923"/>
        <n v="171495"/>
        <n v="171496"/>
        <n v="171945"/>
        <n v="171944"/>
        <n v="172015"/>
        <n v="171791"/>
        <n v="171860"/>
        <n v="171751"/>
        <n v="171958"/>
        <n v="171946"/>
        <n v="171947"/>
        <n v="171749"/>
        <n v="171467"/>
        <n v="171466"/>
        <n v="171748"/>
        <n v="171747"/>
        <n v="171772"/>
        <n v="171759"/>
        <n v="172055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08"/>
        <s v="MQ11"/>
        <s v="MQ04"/>
        <s v="MQ03"/>
        <s v="MQ02"/>
        <s v="MQ01"/>
        <s v="MQ05"/>
        <s v="MQ06"/>
        <s v="MQ10"/>
        <s v="MQ09"/>
        <s v="MQ07"/>
      </sharedItems>
    </cacheField>
    <cacheField name="INICIO_TING" numFmtId="0">
      <sharedItems containsSemiMixedTypes="0" containsNonDate="0" containsDate="1" containsString="0" minDate="2026-03-30T08:59:00" maxDate="2026-04-02T06:12:00"/>
    </cacheField>
    <cacheField name="FINAL_TING" numFmtId="0">
      <sharedItems containsSemiMixedTypes="0" containsNonDate="0" containsDate="1" containsString="0" minDate="2026-03-30T14:24:00" maxDate="2026-04-02T09:34:00"/>
    </cacheField>
    <cacheField name="ARTIGO" numFmtId="0">
      <sharedItems count="16">
        <s v="00018     "/>
        <s v="00016     "/>
        <s v="00024     "/>
        <s v="00189     "/>
        <s v="00056     "/>
        <s v="00014     "/>
        <s v="00184     "/>
        <s v="00146     "/>
        <s v="00178     "/>
        <s v="00044     "/>
        <s v="00042     "/>
        <s v="00456     "/>
        <s v="00032     "/>
        <s v="00149     "/>
        <s v="00030     "/>
        <s v="00207     "/>
      </sharedItems>
    </cacheField>
    <cacheField name="REDUZIDO" numFmtId="0">
      <sharedItems containsSemiMixedTypes="0" containsString="0" containsNumber="1" containsInteger="1" minValue="208" maxValue="21888"/>
    </cacheField>
    <cacheField name="DESCRICAO" numFmtId="0">
      <sharedItems/>
    </cacheField>
    <cacheField name="FASE_ATUAL" numFmtId="0">
      <sharedItems count="3">
        <s v="TIN-TINGIMENTO"/>
        <s v="RMC-REVISÃO MALHA CRUA"/>
        <s v="IVF-INVERSÃO P/FELPAGEM"/>
      </sharedItems>
    </cacheField>
    <cacheField name="STATUS_FASE" numFmtId="0">
      <sharedItems count="4">
        <s v="EM EXECUÇÃO"/>
        <s v="PESADA"/>
        <s v="EMITIDA"/>
        <s v="PROGRAMADA"/>
      </sharedItems>
    </cacheField>
    <cacheField name="USUARIO" numFmtId="0">
      <sharedItems containsBlank="1" count="4">
        <s v="PETERSON ALEXANDRE FELIZARDO"/>
        <s v="FABIO DOS SANTOS MACIEL"/>
        <s v="GLEVID AVISAI  CEDEÑO  MOLINA"/>
        <m/>
      </sharedItems>
    </cacheField>
    <cacheField name="HORARIO_PESADO" numFmtId="0">
      <sharedItems containsNonDate="0" containsDate="1" containsString="0" containsBlank="1" minDate="2026-03-30T00:05:10" maxDate="2026-03-30T15:51:35" count="24">
        <d v="2026-03-30T00:05:10"/>
        <d v="2026-03-30T07:23:44"/>
        <d v="2026-03-30T12:10:01"/>
        <d v="2026-03-30T12:18:48"/>
        <d v="2026-03-30T09:00:10"/>
        <d v="2026-03-30T15:22:03"/>
        <d v="2026-03-30T08:19:26"/>
        <d v="2026-03-30T09:19:29"/>
        <d v="2026-03-30T08:31:02"/>
        <m/>
        <d v="2026-03-30T09:09:25"/>
        <d v="2026-03-30T08:47:07"/>
        <d v="2026-03-30T12:04:23"/>
        <d v="2026-03-30T09:06:20"/>
        <d v="2026-03-30T14:15:17"/>
        <d v="2026-03-30T14:43:07"/>
        <d v="2026-03-30T15:04:44"/>
        <d v="2026-03-30T15:51:35"/>
        <d v="2026-03-30T14:13:38"/>
        <d v="2026-03-30T14:23:08"/>
        <d v="2026-03-30T14:17:31"/>
        <d v="2026-03-30T14:20:22"/>
        <d v="2026-03-30T08:08:31"/>
        <d v="2026-03-30T09:15:41"/>
      </sharedItems>
    </cacheField>
    <cacheField name="DIAS_PESADO" numFmtId="0">
      <sharedItems containsString="0" containsBlank="1" containsNumber="1" minValue="0" maxValue="0.66" count="16">
        <n v="0.66"/>
        <n v="0.36"/>
        <n v="0.16"/>
        <n v="0.15"/>
        <n v="0.28999999999999998"/>
        <n v="0.03"/>
        <n v="0.32"/>
        <n v="0.28000000000000003"/>
        <n v="0.31"/>
        <m/>
        <n v="0.3"/>
        <n v="7.0000000000000007E-2"/>
        <n v="0.05"/>
        <n v="0.04"/>
        <n v="0"/>
        <n v="0.33"/>
      </sharedItems>
    </cacheField>
    <cacheField name="QUANT_PESADA" numFmtId="0">
      <sharedItems containsSemiMixedTypes="0" containsString="0" containsNumber="1" minValue="0" maxValue="87.497" count="24">
        <n v="1.7321200000000001"/>
        <n v="0.30619000000000002"/>
        <n v="1.5069999999999999"/>
        <n v="0.31435999999999997"/>
        <n v="0.3508"/>
        <n v="18.602"/>
        <n v="15.837999999999999"/>
        <n v="7.1280000000000001"/>
        <n v="10.092129999999999"/>
        <n v="0"/>
        <n v="5.7610000000000001"/>
        <n v="60.878"/>
        <n v="13.734"/>
        <n v="7.0510000000000002"/>
        <n v="5.782"/>
        <n v="10.38223"/>
        <n v="26.628"/>
        <n v="87.497"/>
        <n v="5.8789999999999996"/>
        <n v="6.9969999999999999"/>
        <n v="5.7619999999999996"/>
        <n v="5.7039999999999997"/>
        <n v="36.694000000000003"/>
        <n v="1.47100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x v="0"/>
    <x v="0"/>
    <x v="0"/>
    <d v="2026-03-30T08:59:00"/>
    <d v="2026-03-30T14:24:00"/>
    <x v="0"/>
    <n v="9119"/>
    <s v="PIQUE PA AZUL CELESTE"/>
    <x v="0"/>
    <x v="0"/>
    <x v="0"/>
    <x v="0"/>
    <x v="0"/>
    <x v="0"/>
  </r>
  <r>
    <x v="0"/>
    <x v="1"/>
    <x v="0"/>
    <x v="0"/>
    <d v="2026-03-30T08:59:00"/>
    <d v="2026-03-30T14:24:00"/>
    <x v="1"/>
    <n v="513"/>
    <s v="GOLA PA AZUL CELESTE"/>
    <x v="0"/>
    <x v="0"/>
    <x v="0"/>
    <x v="0"/>
    <x v="0"/>
    <x v="0"/>
  </r>
  <r>
    <x v="1"/>
    <x v="2"/>
    <x v="0"/>
    <x v="1"/>
    <d v="2026-03-30T11:03:00"/>
    <d v="2026-03-30T14:34:00"/>
    <x v="2"/>
    <n v="10308"/>
    <s v="M/M 24/1 18 TRAMAS LILÁS CLARO (P) ESTAMPADO"/>
    <x v="0"/>
    <x v="0"/>
    <x v="1"/>
    <x v="1"/>
    <x v="1"/>
    <x v="1"/>
  </r>
  <r>
    <x v="1"/>
    <x v="3"/>
    <x v="0"/>
    <x v="1"/>
    <d v="2026-03-30T11:03:00"/>
    <d v="2026-03-30T14:34:00"/>
    <x v="2"/>
    <n v="10308"/>
    <s v="M/M 24/1 18 TRAMAS LILÁS CLARO (P) ESTAMPADO"/>
    <x v="0"/>
    <x v="0"/>
    <x v="1"/>
    <x v="1"/>
    <x v="1"/>
    <x v="1"/>
  </r>
  <r>
    <x v="2"/>
    <x v="4"/>
    <x v="0"/>
    <x v="2"/>
    <d v="2026-03-30T12:17:00"/>
    <d v="2026-03-30T17:30:00"/>
    <x v="3"/>
    <n v="15517"/>
    <s v="VISCOLYCRA VORTEX FERRUGEM CLARO"/>
    <x v="0"/>
    <x v="0"/>
    <x v="1"/>
    <x v="2"/>
    <x v="2"/>
    <x v="2"/>
  </r>
  <r>
    <x v="2"/>
    <x v="5"/>
    <x v="0"/>
    <x v="3"/>
    <d v="2026-03-30T13:31:00"/>
    <d v="2026-03-30T18:11:00"/>
    <x v="4"/>
    <n v="14534"/>
    <s v="MOLETOM PA TUBULAR ROSA BEBÊ"/>
    <x v="0"/>
    <x v="0"/>
    <x v="1"/>
    <x v="3"/>
    <x v="3"/>
    <x v="3"/>
  </r>
  <r>
    <x v="2"/>
    <x v="6"/>
    <x v="0"/>
    <x v="4"/>
    <d v="2026-03-30T14:19:00"/>
    <d v="2026-03-30T17:51:00"/>
    <x v="2"/>
    <n v="1778"/>
    <s v="M/M 24/1 18 TRAMAS AMARELO BEBÊ (P) ESTAMPADO"/>
    <x v="0"/>
    <x v="0"/>
    <x v="1"/>
    <x v="4"/>
    <x v="4"/>
    <x v="4"/>
  </r>
  <r>
    <x v="2"/>
    <x v="7"/>
    <x v="0"/>
    <x v="5"/>
    <d v="2026-03-30T14:36:00"/>
    <d v="2026-03-30T21:05:00"/>
    <x v="5"/>
    <n v="666"/>
    <s v="RIBANA 2X1 24/1 PA VERDE MILITAR"/>
    <x v="0"/>
    <x v="0"/>
    <x v="2"/>
    <x v="5"/>
    <x v="5"/>
    <x v="5"/>
  </r>
  <r>
    <x v="2"/>
    <x v="8"/>
    <x v="0"/>
    <x v="6"/>
    <d v="2026-03-30T14:50:00"/>
    <d v="2026-03-30T20:22:00"/>
    <x v="3"/>
    <n v="15695"/>
    <s v="VISCOLYCRA VORTEX PETRÓLEO"/>
    <x v="0"/>
    <x v="0"/>
    <x v="1"/>
    <x v="6"/>
    <x v="6"/>
    <x v="6"/>
  </r>
  <r>
    <x v="3"/>
    <x v="9"/>
    <x v="0"/>
    <x v="1"/>
    <d v="2026-03-30T15:01:00"/>
    <d v="2026-03-30T16:37:00"/>
    <x v="6"/>
    <n v="1825"/>
    <s v="POLIÉSTER FIADO BRANCO"/>
    <x v="0"/>
    <x v="1"/>
    <x v="1"/>
    <x v="7"/>
    <x v="7"/>
    <x v="7"/>
  </r>
  <r>
    <x v="2"/>
    <x v="10"/>
    <x v="0"/>
    <x v="0"/>
    <d v="2026-03-30T15:01:00"/>
    <d v="2026-03-30T20:17:00"/>
    <x v="3"/>
    <n v="21596"/>
    <s v="VISCOLYCRA VORTEX FÚCHSIA"/>
    <x v="0"/>
    <x v="1"/>
    <x v="1"/>
    <x v="8"/>
    <x v="8"/>
    <x v="8"/>
  </r>
  <r>
    <x v="2"/>
    <x v="11"/>
    <x v="1"/>
    <x v="7"/>
    <d v="2026-03-30T15:01:00"/>
    <d v="2026-03-30T18:56:00"/>
    <x v="7"/>
    <n v="1972"/>
    <s v="HELANCA 100%PES CHUMBO"/>
    <x v="0"/>
    <x v="2"/>
    <x v="3"/>
    <x v="9"/>
    <x v="9"/>
    <x v="9"/>
  </r>
  <r>
    <x v="3"/>
    <x v="12"/>
    <x v="0"/>
    <x v="1"/>
    <d v="2026-03-30T15:01:00"/>
    <d v="2026-03-30T16:37:00"/>
    <x v="6"/>
    <n v="1825"/>
    <s v="POLIÉSTER FIADO BRANCO"/>
    <x v="0"/>
    <x v="1"/>
    <x v="1"/>
    <x v="7"/>
    <x v="7"/>
    <x v="7"/>
  </r>
  <r>
    <x v="2"/>
    <x v="13"/>
    <x v="0"/>
    <x v="8"/>
    <d v="2026-03-30T15:26:00"/>
    <d v="2026-03-30T19:20:00"/>
    <x v="2"/>
    <n v="2001"/>
    <s v="M/M 24/1 18 TRAMAS BRANCO (P) ESTAMPADO"/>
    <x v="0"/>
    <x v="0"/>
    <x v="1"/>
    <x v="10"/>
    <x v="7"/>
    <x v="10"/>
  </r>
  <r>
    <x v="4"/>
    <x v="14"/>
    <x v="0"/>
    <x v="9"/>
    <d v="2026-03-30T15:27:00"/>
    <d v="2026-03-30T21:13:00"/>
    <x v="3"/>
    <n v="12247"/>
    <s v="VISCOLYCRA VORTEX MARINHO"/>
    <x v="0"/>
    <x v="0"/>
    <x v="1"/>
    <x v="11"/>
    <x v="10"/>
    <x v="11"/>
  </r>
  <r>
    <x v="4"/>
    <x v="15"/>
    <x v="0"/>
    <x v="9"/>
    <d v="2026-03-30T15:27:00"/>
    <d v="2026-03-30T21:13:00"/>
    <x v="3"/>
    <n v="12247"/>
    <s v="VISCOLYCRA VORTEX MARINHO"/>
    <x v="0"/>
    <x v="0"/>
    <x v="1"/>
    <x v="11"/>
    <x v="10"/>
    <x v="11"/>
  </r>
  <r>
    <x v="2"/>
    <x v="16"/>
    <x v="0"/>
    <x v="10"/>
    <d v="2026-03-30T15:52:00"/>
    <d v="2026-03-30T20:26:00"/>
    <x v="8"/>
    <n v="10524"/>
    <s v="SUPLEX ESPECIAL VERDE ESPECIAL"/>
    <x v="0"/>
    <x v="0"/>
    <x v="1"/>
    <x v="12"/>
    <x v="2"/>
    <x v="12"/>
  </r>
  <r>
    <x v="5"/>
    <x v="17"/>
    <x v="0"/>
    <x v="1"/>
    <d v="2026-03-30T16:38:00"/>
    <d v="2026-03-30T18:14:00"/>
    <x v="6"/>
    <n v="1825"/>
    <s v="POLIÉSTER FIADO BRANCO"/>
    <x v="0"/>
    <x v="1"/>
    <x v="1"/>
    <x v="13"/>
    <x v="4"/>
    <x v="13"/>
  </r>
  <r>
    <x v="5"/>
    <x v="18"/>
    <x v="0"/>
    <x v="1"/>
    <d v="2026-03-30T16:38:00"/>
    <d v="2026-03-30T18:14:00"/>
    <x v="6"/>
    <n v="1825"/>
    <s v="POLIÉSTER FIADO BRANCO"/>
    <x v="0"/>
    <x v="1"/>
    <x v="1"/>
    <x v="13"/>
    <x v="4"/>
    <x v="13"/>
  </r>
  <r>
    <x v="6"/>
    <x v="19"/>
    <x v="1"/>
    <x v="2"/>
    <d v="2026-03-30T17:31:00"/>
    <d v="2026-03-30T22:01:00"/>
    <x v="1"/>
    <n v="541"/>
    <s v="GOLA PA ROSA BEBÊ"/>
    <x v="0"/>
    <x v="2"/>
    <x v="3"/>
    <x v="9"/>
    <x v="9"/>
    <x v="9"/>
  </r>
  <r>
    <x v="6"/>
    <x v="20"/>
    <x v="1"/>
    <x v="2"/>
    <d v="2026-03-30T17:31:00"/>
    <d v="2026-03-30T22:01:00"/>
    <x v="0"/>
    <n v="9164"/>
    <s v="PIQUE PA ROSA BEBÊ"/>
    <x v="0"/>
    <x v="2"/>
    <x v="3"/>
    <x v="9"/>
    <x v="9"/>
    <x v="9"/>
  </r>
  <r>
    <x v="2"/>
    <x v="21"/>
    <x v="1"/>
    <x v="4"/>
    <d v="2026-03-30T17:52:00"/>
    <d v="2026-03-30T20:01:00"/>
    <x v="2"/>
    <n v="3392"/>
    <s v="M/M 24/1 18 TRAMAS MARFIM (P) ESTAMPADO"/>
    <x v="0"/>
    <x v="2"/>
    <x v="3"/>
    <x v="9"/>
    <x v="9"/>
    <x v="9"/>
  </r>
  <r>
    <x v="2"/>
    <x v="22"/>
    <x v="1"/>
    <x v="3"/>
    <d v="2026-03-30T18:12:00"/>
    <d v="2026-03-30T21:34:00"/>
    <x v="9"/>
    <n v="1325"/>
    <s v="COTTON 4% OE ROSA CHICLETE"/>
    <x v="0"/>
    <x v="2"/>
    <x v="3"/>
    <x v="9"/>
    <x v="9"/>
    <x v="9"/>
  </r>
  <r>
    <x v="7"/>
    <x v="23"/>
    <x v="1"/>
    <x v="1"/>
    <d v="2026-03-30T18:15:00"/>
    <d v="2026-03-30T20:34:00"/>
    <x v="2"/>
    <n v="3392"/>
    <s v="M/M 24/1 18 TRAMAS MARFIM (P) ESTAMPADO"/>
    <x v="0"/>
    <x v="2"/>
    <x v="3"/>
    <x v="9"/>
    <x v="9"/>
    <x v="9"/>
  </r>
  <r>
    <x v="7"/>
    <x v="24"/>
    <x v="1"/>
    <x v="1"/>
    <d v="2026-03-30T18:15:00"/>
    <d v="2026-03-30T20:34:00"/>
    <x v="2"/>
    <n v="3392"/>
    <s v="M/M 24/1 18 TRAMAS MARFIM (P) ESTAMPADO"/>
    <x v="0"/>
    <x v="2"/>
    <x v="3"/>
    <x v="9"/>
    <x v="9"/>
    <x v="9"/>
  </r>
  <r>
    <x v="2"/>
    <x v="25"/>
    <x v="0"/>
    <x v="8"/>
    <d v="2026-03-30T19:21:00"/>
    <d v="2026-03-30T22:55:00"/>
    <x v="2"/>
    <n v="2001"/>
    <s v="M/M 24/1 18 TRAMAS BRANCO (P) ESTAMPADO"/>
    <x v="0"/>
    <x v="1"/>
    <x v="2"/>
    <x v="14"/>
    <x v="11"/>
    <x v="14"/>
  </r>
  <r>
    <x v="2"/>
    <x v="26"/>
    <x v="1"/>
    <x v="4"/>
    <d v="2026-03-30T20:02:00"/>
    <d v="2026-03-30T22:11:00"/>
    <x v="2"/>
    <n v="3392"/>
    <s v="M/M 24/1 18 TRAMAS MARFIM (P) ESTAMPADO"/>
    <x v="0"/>
    <x v="2"/>
    <x v="3"/>
    <x v="9"/>
    <x v="9"/>
    <x v="9"/>
  </r>
  <r>
    <x v="2"/>
    <x v="27"/>
    <x v="0"/>
    <x v="0"/>
    <d v="2026-03-30T20:18:00"/>
    <d v="2026-03-31T01:34:00"/>
    <x v="3"/>
    <n v="21596"/>
    <s v="VISCOLYCRA VORTEX FÚCHSIA"/>
    <x v="0"/>
    <x v="1"/>
    <x v="2"/>
    <x v="15"/>
    <x v="12"/>
    <x v="15"/>
  </r>
  <r>
    <x v="2"/>
    <x v="28"/>
    <x v="1"/>
    <x v="6"/>
    <d v="2026-03-30T20:23:00"/>
    <d v="2026-03-30T23:42:00"/>
    <x v="6"/>
    <n v="3695"/>
    <s v="POLIÉSTER FIADO VERDE BANDEIRA"/>
    <x v="0"/>
    <x v="2"/>
    <x v="3"/>
    <x v="9"/>
    <x v="9"/>
    <x v="9"/>
  </r>
  <r>
    <x v="2"/>
    <x v="29"/>
    <x v="1"/>
    <x v="10"/>
    <d v="2026-03-30T20:27:00"/>
    <d v="2026-03-31T01:02:00"/>
    <x v="3"/>
    <n v="11944"/>
    <s v="VISCOLYCRA VORTEX PRETO"/>
    <x v="0"/>
    <x v="2"/>
    <x v="3"/>
    <x v="9"/>
    <x v="9"/>
    <x v="9"/>
  </r>
  <r>
    <x v="8"/>
    <x v="30"/>
    <x v="1"/>
    <x v="1"/>
    <d v="2026-03-30T20:35:00"/>
    <d v="2026-03-30T22:54:00"/>
    <x v="2"/>
    <n v="3392"/>
    <s v="M/M 24/1 18 TRAMAS MARFIM (P) ESTAMPADO"/>
    <x v="1"/>
    <x v="3"/>
    <x v="3"/>
    <x v="9"/>
    <x v="9"/>
    <x v="9"/>
  </r>
  <r>
    <x v="8"/>
    <x v="31"/>
    <x v="1"/>
    <x v="1"/>
    <d v="2026-03-30T20:35:00"/>
    <d v="2026-03-30T22:54:00"/>
    <x v="2"/>
    <n v="3392"/>
    <s v="M/M 24/1 18 TRAMAS MARFIM (P) ESTAMPADO"/>
    <x v="1"/>
    <x v="3"/>
    <x v="3"/>
    <x v="9"/>
    <x v="9"/>
    <x v="9"/>
  </r>
  <r>
    <x v="2"/>
    <x v="32"/>
    <x v="0"/>
    <x v="5"/>
    <d v="2026-03-30T21:06:00"/>
    <d v="2026-03-31T04:52:00"/>
    <x v="10"/>
    <n v="1394"/>
    <s v="M/M 30/1 PV VERDE MILITAR"/>
    <x v="0"/>
    <x v="1"/>
    <x v="2"/>
    <x v="16"/>
    <x v="13"/>
    <x v="16"/>
  </r>
  <r>
    <x v="9"/>
    <x v="33"/>
    <x v="0"/>
    <x v="9"/>
    <d v="2026-03-30T21:14:00"/>
    <d v="2026-03-31T05:10:00"/>
    <x v="10"/>
    <n v="1344"/>
    <s v="M/M 30/1 PV MARINHO"/>
    <x v="0"/>
    <x v="1"/>
    <x v="2"/>
    <x v="17"/>
    <x v="14"/>
    <x v="17"/>
  </r>
  <r>
    <x v="9"/>
    <x v="34"/>
    <x v="0"/>
    <x v="9"/>
    <d v="2026-03-30T21:14:00"/>
    <d v="2026-03-31T05:10:00"/>
    <x v="10"/>
    <n v="1344"/>
    <s v="M/M 30/1 PV MARINHO"/>
    <x v="0"/>
    <x v="1"/>
    <x v="2"/>
    <x v="17"/>
    <x v="14"/>
    <x v="17"/>
  </r>
  <r>
    <x v="2"/>
    <x v="35"/>
    <x v="1"/>
    <x v="3"/>
    <d v="2026-03-30T21:35:00"/>
    <d v="2026-03-31T02:05:00"/>
    <x v="4"/>
    <n v="14534"/>
    <s v="MOLETOM PA TUBULAR ROSA BEBÊ"/>
    <x v="0"/>
    <x v="2"/>
    <x v="3"/>
    <x v="9"/>
    <x v="9"/>
    <x v="9"/>
  </r>
  <r>
    <x v="2"/>
    <x v="36"/>
    <x v="1"/>
    <x v="7"/>
    <d v="2026-03-30T21:53:00"/>
    <d v="2026-03-30T23:16:00"/>
    <x v="11"/>
    <n v="14539"/>
    <s v="MOLETOM MESCLA PA TUBULAR"/>
    <x v="2"/>
    <x v="3"/>
    <x v="3"/>
    <x v="9"/>
    <x v="9"/>
    <x v="9"/>
  </r>
  <r>
    <x v="2"/>
    <x v="37"/>
    <x v="1"/>
    <x v="2"/>
    <d v="2026-03-30T22:02:00"/>
    <d v="2026-03-31T01:26:00"/>
    <x v="3"/>
    <n v="12251"/>
    <s v="VISCOLYCRA VORTEX ROSA BEBÊ"/>
    <x v="0"/>
    <x v="2"/>
    <x v="3"/>
    <x v="9"/>
    <x v="9"/>
    <x v="9"/>
  </r>
  <r>
    <x v="2"/>
    <x v="38"/>
    <x v="0"/>
    <x v="4"/>
    <d v="2026-03-30T22:12:00"/>
    <d v="2026-03-31T01:30:00"/>
    <x v="2"/>
    <n v="2001"/>
    <s v="M/M 24/1 18 TRAMAS BRANCO (P) ESTAMPADO"/>
    <x v="1"/>
    <x v="0"/>
    <x v="2"/>
    <x v="18"/>
    <x v="11"/>
    <x v="18"/>
  </r>
  <r>
    <x v="10"/>
    <x v="39"/>
    <x v="0"/>
    <x v="1"/>
    <d v="2026-03-30T22:55:00"/>
    <d v="2026-03-31T00:31:00"/>
    <x v="6"/>
    <n v="1825"/>
    <s v="POLIÉSTER FIADO BRANCO"/>
    <x v="1"/>
    <x v="0"/>
    <x v="2"/>
    <x v="19"/>
    <x v="11"/>
    <x v="19"/>
  </r>
  <r>
    <x v="10"/>
    <x v="40"/>
    <x v="0"/>
    <x v="1"/>
    <d v="2026-03-30T22:55:00"/>
    <d v="2026-03-31T00:31:00"/>
    <x v="6"/>
    <n v="1825"/>
    <s v="POLIÉSTER FIADO BRANCO"/>
    <x v="1"/>
    <x v="3"/>
    <x v="2"/>
    <x v="19"/>
    <x v="11"/>
    <x v="19"/>
  </r>
  <r>
    <x v="2"/>
    <x v="41"/>
    <x v="0"/>
    <x v="8"/>
    <d v="2026-03-30T22:56:00"/>
    <d v="2026-03-31T02:30:00"/>
    <x v="2"/>
    <n v="2001"/>
    <s v="M/M 24/1 18 TRAMAS BRANCO (P) ESTAMPADO"/>
    <x v="1"/>
    <x v="0"/>
    <x v="2"/>
    <x v="20"/>
    <x v="11"/>
    <x v="20"/>
  </r>
  <r>
    <x v="2"/>
    <x v="42"/>
    <x v="1"/>
    <x v="7"/>
    <d v="2026-03-30T23:17:00"/>
    <d v="2026-03-31T02:17:00"/>
    <x v="4"/>
    <n v="21888"/>
    <s v="MOLETOM PA TUBULAR BRANCO"/>
    <x v="2"/>
    <x v="0"/>
    <x v="3"/>
    <x v="9"/>
    <x v="9"/>
    <x v="9"/>
  </r>
  <r>
    <x v="11"/>
    <x v="43"/>
    <x v="1"/>
    <x v="6"/>
    <d v="2026-03-30T23:43:00"/>
    <d v="2026-03-31T04:59:00"/>
    <x v="3"/>
    <n v="12248"/>
    <s v="VISCOLYCRA VORTEX VERDE MILITAR"/>
    <x v="0"/>
    <x v="2"/>
    <x v="3"/>
    <x v="9"/>
    <x v="9"/>
    <x v="9"/>
  </r>
  <r>
    <x v="11"/>
    <x v="44"/>
    <x v="1"/>
    <x v="6"/>
    <d v="2026-03-30T23:43:00"/>
    <d v="2026-03-31T04:59:00"/>
    <x v="3"/>
    <n v="12248"/>
    <s v="VISCOLYCRA VORTEX VERDE MILITAR"/>
    <x v="0"/>
    <x v="2"/>
    <x v="3"/>
    <x v="9"/>
    <x v="9"/>
    <x v="9"/>
  </r>
  <r>
    <x v="12"/>
    <x v="45"/>
    <x v="1"/>
    <x v="1"/>
    <d v="2026-03-31T00:32:00"/>
    <d v="2026-03-31T02:08:00"/>
    <x v="6"/>
    <n v="1825"/>
    <s v="POLIÉSTER FIADO BRANCO"/>
    <x v="1"/>
    <x v="3"/>
    <x v="3"/>
    <x v="9"/>
    <x v="9"/>
    <x v="9"/>
  </r>
  <r>
    <x v="12"/>
    <x v="46"/>
    <x v="1"/>
    <x v="1"/>
    <d v="2026-03-31T00:32:00"/>
    <d v="2026-03-31T02:08:00"/>
    <x v="6"/>
    <n v="1825"/>
    <s v="POLIÉSTER FIADO BRANCO"/>
    <x v="1"/>
    <x v="3"/>
    <x v="3"/>
    <x v="9"/>
    <x v="9"/>
    <x v="9"/>
  </r>
  <r>
    <x v="2"/>
    <x v="47"/>
    <x v="1"/>
    <x v="10"/>
    <d v="2026-03-31T01:03:00"/>
    <d v="2026-03-31T05:38:00"/>
    <x v="3"/>
    <n v="11944"/>
    <s v="VISCOLYCRA VORTEX PRETO"/>
    <x v="0"/>
    <x v="2"/>
    <x v="3"/>
    <x v="9"/>
    <x v="9"/>
    <x v="9"/>
  </r>
  <r>
    <x v="2"/>
    <x v="48"/>
    <x v="1"/>
    <x v="2"/>
    <d v="2026-03-31T01:27:00"/>
    <d v="2026-03-31T04:51:00"/>
    <x v="3"/>
    <n v="12251"/>
    <s v="VISCOLYCRA VORTEX ROSA BEBÊ"/>
    <x v="0"/>
    <x v="2"/>
    <x v="3"/>
    <x v="9"/>
    <x v="9"/>
    <x v="9"/>
  </r>
  <r>
    <x v="2"/>
    <x v="49"/>
    <x v="0"/>
    <x v="4"/>
    <d v="2026-03-31T01:31:00"/>
    <d v="2026-03-31T04:49:00"/>
    <x v="2"/>
    <n v="2001"/>
    <s v="M/M 24/1 18 TRAMAS BRANCO (P) ESTAMPADO"/>
    <x v="1"/>
    <x v="0"/>
    <x v="2"/>
    <x v="21"/>
    <x v="11"/>
    <x v="21"/>
  </r>
  <r>
    <x v="2"/>
    <x v="50"/>
    <x v="1"/>
    <x v="0"/>
    <d v="2026-03-31T01:35:00"/>
    <d v="2026-03-31T04:48:00"/>
    <x v="6"/>
    <n v="3696"/>
    <s v="POLIÉSTER FIADO AMARELO OURO"/>
    <x v="0"/>
    <x v="2"/>
    <x v="3"/>
    <x v="9"/>
    <x v="9"/>
    <x v="9"/>
  </r>
  <r>
    <x v="2"/>
    <x v="51"/>
    <x v="1"/>
    <x v="3"/>
    <d v="2026-03-31T02:06:00"/>
    <d v="2026-03-31T05:01:00"/>
    <x v="2"/>
    <n v="3618"/>
    <s v="M/M 24/1 18 TRAMAS SALMAO BEBÊ (P) ESTAMPADO"/>
    <x v="1"/>
    <x v="3"/>
    <x v="3"/>
    <x v="9"/>
    <x v="9"/>
    <x v="9"/>
  </r>
  <r>
    <x v="13"/>
    <x v="52"/>
    <x v="1"/>
    <x v="1"/>
    <d v="2026-03-31T02:09:00"/>
    <d v="2026-03-31T03:45:00"/>
    <x v="6"/>
    <n v="1825"/>
    <s v="POLIÉSTER FIADO BRANCO"/>
    <x v="1"/>
    <x v="3"/>
    <x v="3"/>
    <x v="9"/>
    <x v="9"/>
    <x v="9"/>
  </r>
  <r>
    <x v="13"/>
    <x v="53"/>
    <x v="1"/>
    <x v="1"/>
    <d v="2026-03-31T02:09:00"/>
    <d v="2026-03-31T03:45:00"/>
    <x v="6"/>
    <n v="1825"/>
    <s v="POLIÉSTER FIADO BRANCO"/>
    <x v="1"/>
    <x v="3"/>
    <x v="3"/>
    <x v="9"/>
    <x v="9"/>
    <x v="9"/>
  </r>
  <r>
    <x v="2"/>
    <x v="54"/>
    <x v="1"/>
    <x v="7"/>
    <d v="2026-03-31T02:18:00"/>
    <d v="2026-03-31T05:18:00"/>
    <x v="4"/>
    <n v="21888"/>
    <s v="MOLETOM PA TUBULAR BRANCO"/>
    <x v="0"/>
    <x v="2"/>
    <x v="3"/>
    <x v="9"/>
    <x v="9"/>
    <x v="9"/>
  </r>
  <r>
    <x v="2"/>
    <x v="55"/>
    <x v="1"/>
    <x v="8"/>
    <d v="2026-03-31T02:31:00"/>
    <d v="2026-03-31T06:05:00"/>
    <x v="2"/>
    <n v="2001"/>
    <s v="M/M 24/1 18 TRAMAS BRANCO (P) ESTAMPADO"/>
    <x v="1"/>
    <x v="3"/>
    <x v="3"/>
    <x v="9"/>
    <x v="9"/>
    <x v="9"/>
  </r>
  <r>
    <x v="14"/>
    <x v="56"/>
    <x v="1"/>
    <x v="1"/>
    <d v="2026-03-31T03:46:00"/>
    <d v="2026-03-31T05:22:00"/>
    <x v="6"/>
    <n v="1825"/>
    <s v="POLIÉSTER FIADO BRANCO"/>
    <x v="1"/>
    <x v="3"/>
    <x v="3"/>
    <x v="9"/>
    <x v="9"/>
    <x v="9"/>
  </r>
  <r>
    <x v="14"/>
    <x v="57"/>
    <x v="1"/>
    <x v="1"/>
    <d v="2026-03-31T03:46:00"/>
    <d v="2026-03-31T05:22:00"/>
    <x v="6"/>
    <n v="1825"/>
    <s v="POLIÉSTER FIADO BRANCO"/>
    <x v="1"/>
    <x v="3"/>
    <x v="3"/>
    <x v="9"/>
    <x v="9"/>
    <x v="9"/>
  </r>
  <r>
    <x v="2"/>
    <x v="58"/>
    <x v="1"/>
    <x v="0"/>
    <d v="2026-03-31T04:49:00"/>
    <d v="2026-03-31T08:02:00"/>
    <x v="6"/>
    <n v="3485"/>
    <s v="POLIÉSTER FIADO AMARELO CANÁRIO"/>
    <x v="1"/>
    <x v="3"/>
    <x v="3"/>
    <x v="9"/>
    <x v="9"/>
    <x v="9"/>
  </r>
  <r>
    <x v="2"/>
    <x v="59"/>
    <x v="1"/>
    <x v="4"/>
    <d v="2026-03-31T04:50:00"/>
    <d v="2026-03-31T08:08:00"/>
    <x v="2"/>
    <n v="2001"/>
    <s v="M/M 24/1 18 TRAMAS BRANCO (P) ESTAMPADO"/>
    <x v="1"/>
    <x v="0"/>
    <x v="3"/>
    <x v="9"/>
    <x v="9"/>
    <x v="9"/>
  </r>
  <r>
    <x v="2"/>
    <x v="60"/>
    <x v="0"/>
    <x v="5"/>
    <d v="2026-03-31T04:53:00"/>
    <d v="2026-03-31T10:54:00"/>
    <x v="12"/>
    <n v="1392"/>
    <s v="M/M 30/1 PENTEADO VERDE MILITAR"/>
    <x v="0"/>
    <x v="1"/>
    <x v="1"/>
    <x v="22"/>
    <x v="15"/>
    <x v="22"/>
  </r>
  <r>
    <x v="15"/>
    <x v="61"/>
    <x v="1"/>
    <x v="6"/>
    <d v="2026-03-31T05:00:00"/>
    <d v="2026-03-31T10:16:00"/>
    <x v="3"/>
    <n v="12248"/>
    <s v="VISCOLYCRA VORTEX VERDE MILITAR"/>
    <x v="1"/>
    <x v="3"/>
    <x v="3"/>
    <x v="9"/>
    <x v="9"/>
    <x v="9"/>
  </r>
  <r>
    <x v="15"/>
    <x v="62"/>
    <x v="1"/>
    <x v="6"/>
    <d v="2026-03-31T05:00:00"/>
    <d v="2026-03-31T10:16:00"/>
    <x v="3"/>
    <n v="12248"/>
    <s v="VISCOLYCRA VORTEX VERDE MILITAR"/>
    <x v="1"/>
    <x v="3"/>
    <x v="3"/>
    <x v="9"/>
    <x v="9"/>
    <x v="9"/>
  </r>
  <r>
    <x v="2"/>
    <x v="63"/>
    <x v="1"/>
    <x v="3"/>
    <d v="2026-03-31T05:02:00"/>
    <d v="2026-03-31T07:57:00"/>
    <x v="2"/>
    <n v="3393"/>
    <s v="M/M 24/1 18 TRAMAS AZUL BEBÊ (P) ESTAMPADO"/>
    <x v="1"/>
    <x v="3"/>
    <x v="3"/>
    <x v="9"/>
    <x v="9"/>
    <x v="9"/>
  </r>
  <r>
    <x v="16"/>
    <x v="64"/>
    <x v="1"/>
    <x v="9"/>
    <d v="2026-03-31T05:11:00"/>
    <d v="2026-03-31T13:07:00"/>
    <x v="10"/>
    <n v="1344"/>
    <s v="M/M 30/1 PV MARINHO"/>
    <x v="1"/>
    <x v="3"/>
    <x v="3"/>
    <x v="9"/>
    <x v="9"/>
    <x v="9"/>
  </r>
  <r>
    <x v="16"/>
    <x v="65"/>
    <x v="1"/>
    <x v="9"/>
    <d v="2026-03-31T05:11:00"/>
    <d v="2026-03-31T13:07:00"/>
    <x v="10"/>
    <n v="1344"/>
    <s v="M/M 30/1 PV MARINHO"/>
    <x v="1"/>
    <x v="3"/>
    <x v="3"/>
    <x v="9"/>
    <x v="9"/>
    <x v="9"/>
  </r>
  <r>
    <x v="2"/>
    <x v="66"/>
    <x v="1"/>
    <x v="7"/>
    <d v="2026-03-31T05:19:00"/>
    <d v="2026-03-31T08:19:00"/>
    <x v="4"/>
    <n v="21888"/>
    <s v="MOLETOM PA TUBULAR BRANCO"/>
    <x v="1"/>
    <x v="3"/>
    <x v="3"/>
    <x v="9"/>
    <x v="9"/>
    <x v="9"/>
  </r>
  <r>
    <x v="17"/>
    <x v="67"/>
    <x v="1"/>
    <x v="1"/>
    <d v="2026-03-31T05:23:00"/>
    <d v="2026-03-31T06:59:00"/>
    <x v="6"/>
    <n v="1825"/>
    <s v="POLIÉSTER FIADO BRANCO"/>
    <x v="1"/>
    <x v="3"/>
    <x v="3"/>
    <x v="9"/>
    <x v="9"/>
    <x v="9"/>
  </r>
  <r>
    <x v="17"/>
    <x v="68"/>
    <x v="1"/>
    <x v="1"/>
    <d v="2026-03-31T05:23:00"/>
    <d v="2026-03-31T06:59:00"/>
    <x v="6"/>
    <n v="1825"/>
    <s v="POLIÉSTER FIADO BRANCO"/>
    <x v="1"/>
    <x v="3"/>
    <x v="3"/>
    <x v="9"/>
    <x v="9"/>
    <x v="9"/>
  </r>
  <r>
    <x v="2"/>
    <x v="69"/>
    <x v="1"/>
    <x v="8"/>
    <d v="2026-03-31T06:06:00"/>
    <d v="2026-03-31T09:40:00"/>
    <x v="2"/>
    <n v="2001"/>
    <s v="M/M 24/1 18 TRAMAS BRANCO (P) ESTAMPADO"/>
    <x v="1"/>
    <x v="3"/>
    <x v="3"/>
    <x v="9"/>
    <x v="9"/>
    <x v="9"/>
  </r>
  <r>
    <x v="18"/>
    <x v="70"/>
    <x v="1"/>
    <x v="1"/>
    <d v="2026-03-31T07:00:00"/>
    <d v="2026-03-31T08:36:00"/>
    <x v="6"/>
    <n v="1825"/>
    <s v="POLIÉSTER FIADO BRANCO"/>
    <x v="1"/>
    <x v="3"/>
    <x v="3"/>
    <x v="9"/>
    <x v="9"/>
    <x v="9"/>
  </r>
  <r>
    <x v="18"/>
    <x v="71"/>
    <x v="1"/>
    <x v="1"/>
    <d v="2026-03-31T07:00:00"/>
    <d v="2026-03-31T08:36:00"/>
    <x v="6"/>
    <n v="1825"/>
    <s v="POLIÉSTER FIADO BRANCO"/>
    <x v="1"/>
    <x v="3"/>
    <x v="3"/>
    <x v="9"/>
    <x v="9"/>
    <x v="9"/>
  </r>
  <r>
    <x v="2"/>
    <x v="72"/>
    <x v="1"/>
    <x v="3"/>
    <d v="2026-03-31T07:58:00"/>
    <d v="2026-03-31T11:20:00"/>
    <x v="2"/>
    <n v="3394"/>
    <s v="M/M 24/1 18 TRAMAS VERDE BEBÊ (P) ESTAMPADO"/>
    <x v="1"/>
    <x v="3"/>
    <x v="3"/>
    <x v="9"/>
    <x v="9"/>
    <x v="9"/>
  </r>
  <r>
    <x v="2"/>
    <x v="73"/>
    <x v="1"/>
    <x v="0"/>
    <d v="2026-03-31T08:03:00"/>
    <d v="2026-03-31T13:19:00"/>
    <x v="3"/>
    <n v="15515"/>
    <s v="VISCOLYCRA VORTEX CARAMELO"/>
    <x v="1"/>
    <x v="3"/>
    <x v="3"/>
    <x v="9"/>
    <x v="9"/>
    <x v="9"/>
  </r>
  <r>
    <x v="2"/>
    <x v="74"/>
    <x v="1"/>
    <x v="4"/>
    <d v="2026-03-31T08:09:00"/>
    <d v="2026-03-31T11:27:00"/>
    <x v="12"/>
    <n v="208"/>
    <s v="M/M 30/1 PENTEADO BRANCO"/>
    <x v="1"/>
    <x v="3"/>
    <x v="3"/>
    <x v="9"/>
    <x v="9"/>
    <x v="9"/>
  </r>
  <r>
    <x v="2"/>
    <x v="75"/>
    <x v="1"/>
    <x v="7"/>
    <d v="2026-03-31T08:20:00"/>
    <d v="2026-03-31T11:15:00"/>
    <x v="13"/>
    <n v="371"/>
    <s v="HELANCA SUEDINE 100%CO AMARELO BEBÊ"/>
    <x v="1"/>
    <x v="3"/>
    <x v="3"/>
    <x v="9"/>
    <x v="9"/>
    <x v="9"/>
  </r>
  <r>
    <x v="19"/>
    <x v="76"/>
    <x v="1"/>
    <x v="1"/>
    <d v="2026-03-31T08:37:00"/>
    <d v="2026-03-31T10:13:00"/>
    <x v="6"/>
    <n v="1825"/>
    <s v="POLIÉSTER FIADO BRANCO"/>
    <x v="1"/>
    <x v="3"/>
    <x v="3"/>
    <x v="9"/>
    <x v="9"/>
    <x v="9"/>
  </r>
  <r>
    <x v="19"/>
    <x v="77"/>
    <x v="1"/>
    <x v="1"/>
    <d v="2026-03-31T08:37:00"/>
    <d v="2026-03-31T10:13:00"/>
    <x v="6"/>
    <n v="1825"/>
    <s v="POLIÉSTER FIADO BRANCO"/>
    <x v="1"/>
    <x v="3"/>
    <x v="3"/>
    <x v="9"/>
    <x v="9"/>
    <x v="9"/>
  </r>
  <r>
    <x v="2"/>
    <x v="78"/>
    <x v="1"/>
    <x v="8"/>
    <d v="2026-03-31T09:41:00"/>
    <d v="2026-03-31T13:15:00"/>
    <x v="2"/>
    <n v="2001"/>
    <s v="M/M 24/1 18 TRAMAS BRANCO (P) ESTAMPADO"/>
    <x v="1"/>
    <x v="3"/>
    <x v="3"/>
    <x v="9"/>
    <x v="9"/>
    <x v="9"/>
  </r>
  <r>
    <x v="20"/>
    <x v="79"/>
    <x v="1"/>
    <x v="1"/>
    <d v="2026-03-31T10:14:00"/>
    <d v="2026-03-31T11:50:00"/>
    <x v="6"/>
    <n v="1825"/>
    <s v="POLIÉSTER FIADO BRANCO"/>
    <x v="1"/>
    <x v="3"/>
    <x v="3"/>
    <x v="9"/>
    <x v="9"/>
    <x v="9"/>
  </r>
  <r>
    <x v="20"/>
    <x v="80"/>
    <x v="1"/>
    <x v="1"/>
    <d v="2026-03-31T10:14:00"/>
    <d v="2026-03-31T11:50:00"/>
    <x v="6"/>
    <n v="1825"/>
    <s v="POLIÉSTER FIADO BRANCO"/>
    <x v="1"/>
    <x v="3"/>
    <x v="3"/>
    <x v="9"/>
    <x v="9"/>
    <x v="9"/>
  </r>
  <r>
    <x v="2"/>
    <x v="81"/>
    <x v="1"/>
    <x v="5"/>
    <d v="2026-03-31T10:55:00"/>
    <d v="2026-03-31T18:12:00"/>
    <x v="10"/>
    <n v="1384"/>
    <s v="M/M 30/1 PV VERDE BANDEIRA"/>
    <x v="1"/>
    <x v="3"/>
    <x v="3"/>
    <x v="9"/>
    <x v="9"/>
    <x v="9"/>
  </r>
  <r>
    <x v="2"/>
    <x v="82"/>
    <x v="1"/>
    <x v="7"/>
    <d v="2026-03-31T11:16:00"/>
    <d v="2026-03-31T13:25:00"/>
    <x v="5"/>
    <n v="249"/>
    <s v="RIBANA 2X1 24/1 PA MARFIM 1F"/>
    <x v="1"/>
    <x v="3"/>
    <x v="3"/>
    <x v="9"/>
    <x v="9"/>
    <x v="9"/>
  </r>
  <r>
    <x v="2"/>
    <x v="83"/>
    <x v="1"/>
    <x v="3"/>
    <d v="2026-03-31T11:21:00"/>
    <d v="2026-03-31T14:22:00"/>
    <x v="2"/>
    <n v="10308"/>
    <s v="M/M 24/1 18 TRAMAS LILÁS CLARO (P) ESTAMPADO"/>
    <x v="1"/>
    <x v="3"/>
    <x v="3"/>
    <x v="9"/>
    <x v="9"/>
    <x v="9"/>
  </r>
  <r>
    <x v="2"/>
    <x v="84"/>
    <x v="1"/>
    <x v="4"/>
    <d v="2026-03-31T11:28:00"/>
    <d v="2026-03-31T14:46:00"/>
    <x v="12"/>
    <n v="208"/>
    <s v="M/M 30/1 PENTEADO BRANCO"/>
    <x v="1"/>
    <x v="3"/>
    <x v="3"/>
    <x v="9"/>
    <x v="9"/>
    <x v="9"/>
  </r>
  <r>
    <x v="21"/>
    <x v="85"/>
    <x v="1"/>
    <x v="1"/>
    <d v="2026-03-31T11:51:00"/>
    <d v="2026-03-31T13:27:00"/>
    <x v="6"/>
    <n v="1825"/>
    <s v="POLIÉSTER FIADO BRANCO"/>
    <x v="1"/>
    <x v="3"/>
    <x v="3"/>
    <x v="9"/>
    <x v="9"/>
    <x v="9"/>
  </r>
  <r>
    <x v="21"/>
    <x v="86"/>
    <x v="1"/>
    <x v="1"/>
    <d v="2026-03-31T11:51:00"/>
    <d v="2026-03-31T13:27:00"/>
    <x v="6"/>
    <n v="1825"/>
    <s v="POLIÉSTER FIADO BRANCO"/>
    <x v="1"/>
    <x v="3"/>
    <x v="3"/>
    <x v="9"/>
    <x v="9"/>
    <x v="9"/>
  </r>
  <r>
    <x v="22"/>
    <x v="87"/>
    <x v="1"/>
    <x v="9"/>
    <d v="2026-03-31T13:08:00"/>
    <d v="2026-03-31T19:19:00"/>
    <x v="12"/>
    <n v="1342"/>
    <s v="M/M 30/1 PENTEADO MARINHO"/>
    <x v="1"/>
    <x v="3"/>
    <x v="3"/>
    <x v="9"/>
    <x v="9"/>
    <x v="9"/>
  </r>
  <r>
    <x v="22"/>
    <x v="88"/>
    <x v="1"/>
    <x v="9"/>
    <d v="2026-03-31T13:08:00"/>
    <d v="2026-03-31T19:19:00"/>
    <x v="12"/>
    <n v="1342"/>
    <s v="M/M 30/1 PENTEADO MARINHO"/>
    <x v="1"/>
    <x v="3"/>
    <x v="3"/>
    <x v="9"/>
    <x v="9"/>
    <x v="9"/>
  </r>
  <r>
    <x v="2"/>
    <x v="89"/>
    <x v="1"/>
    <x v="2"/>
    <d v="2026-03-31T13:15:00"/>
    <d v="2026-03-31T16:58:00"/>
    <x v="8"/>
    <n v="1053"/>
    <s v="SUPLEX ESPECIAL AMARELO CANÁRIO"/>
    <x v="1"/>
    <x v="3"/>
    <x v="3"/>
    <x v="9"/>
    <x v="9"/>
    <x v="9"/>
  </r>
  <r>
    <x v="2"/>
    <x v="90"/>
    <x v="1"/>
    <x v="0"/>
    <d v="2026-03-31T13:20:00"/>
    <d v="2026-03-31T18:36:00"/>
    <x v="3"/>
    <n v="15515"/>
    <s v="VISCOLYCRA VORTEX CARAMELO"/>
    <x v="1"/>
    <x v="3"/>
    <x v="3"/>
    <x v="9"/>
    <x v="9"/>
    <x v="9"/>
  </r>
  <r>
    <x v="2"/>
    <x v="91"/>
    <x v="1"/>
    <x v="3"/>
    <d v="2026-03-31T14:23:00"/>
    <d v="2026-03-31T17:18:00"/>
    <x v="2"/>
    <n v="3395"/>
    <s v="M/M 24/1 18 TRAMAS ROSA BEBÊ (P) ESTAMPADO"/>
    <x v="1"/>
    <x v="3"/>
    <x v="3"/>
    <x v="9"/>
    <x v="9"/>
    <x v="9"/>
  </r>
  <r>
    <x v="2"/>
    <x v="92"/>
    <x v="1"/>
    <x v="2"/>
    <d v="2026-03-31T16:59:00"/>
    <d v="2026-03-31T19:54:00"/>
    <x v="14"/>
    <n v="2430"/>
    <s v="M/M 30/1 CARDADA OE ROSA CHICLETE"/>
    <x v="1"/>
    <x v="3"/>
    <x v="3"/>
    <x v="9"/>
    <x v="9"/>
    <x v="9"/>
  </r>
  <r>
    <x v="2"/>
    <x v="93"/>
    <x v="1"/>
    <x v="3"/>
    <d v="2026-03-31T17:19:00"/>
    <d v="2026-03-31T23:20:00"/>
    <x v="12"/>
    <n v="1472"/>
    <s v="M/M 30/1 PENTEADO VINHO"/>
    <x v="1"/>
    <x v="3"/>
    <x v="3"/>
    <x v="9"/>
    <x v="9"/>
    <x v="9"/>
  </r>
  <r>
    <x v="23"/>
    <x v="94"/>
    <x v="1"/>
    <x v="9"/>
    <d v="2026-03-31T19:20:00"/>
    <d v="2026-04-01T01:31:00"/>
    <x v="12"/>
    <n v="1352"/>
    <s v="M/M 30/1 PENTEADO CHUMBO"/>
    <x v="1"/>
    <x v="3"/>
    <x v="3"/>
    <x v="9"/>
    <x v="9"/>
    <x v="9"/>
  </r>
  <r>
    <x v="23"/>
    <x v="95"/>
    <x v="1"/>
    <x v="9"/>
    <d v="2026-03-31T19:20:00"/>
    <d v="2026-04-01T01:31:00"/>
    <x v="12"/>
    <n v="1352"/>
    <s v="M/M 30/1 PENTEADO CHUMBO"/>
    <x v="1"/>
    <x v="3"/>
    <x v="3"/>
    <x v="9"/>
    <x v="9"/>
    <x v="9"/>
  </r>
  <r>
    <x v="2"/>
    <x v="96"/>
    <x v="1"/>
    <x v="2"/>
    <d v="2026-03-31T19:55:00"/>
    <d v="2026-03-31T22:55:00"/>
    <x v="14"/>
    <n v="2429"/>
    <s v="M/M 30/1 CARDADA OE ROSA BEBÊ"/>
    <x v="1"/>
    <x v="3"/>
    <x v="3"/>
    <x v="9"/>
    <x v="9"/>
    <x v="9"/>
  </r>
  <r>
    <x v="24"/>
    <x v="97"/>
    <x v="1"/>
    <x v="1"/>
    <d v="2026-03-31T20:02:00"/>
    <d v="2026-03-31T23:34:00"/>
    <x v="8"/>
    <n v="223"/>
    <s v="SUPLEX ESPECIAL BRANCO"/>
    <x v="1"/>
    <x v="3"/>
    <x v="3"/>
    <x v="9"/>
    <x v="9"/>
    <x v="9"/>
  </r>
  <r>
    <x v="24"/>
    <x v="98"/>
    <x v="1"/>
    <x v="1"/>
    <d v="2026-03-31T20:02:00"/>
    <d v="2026-03-31T23:34:00"/>
    <x v="8"/>
    <n v="223"/>
    <s v="SUPLEX ESPECIAL BRANCO"/>
    <x v="1"/>
    <x v="3"/>
    <x v="3"/>
    <x v="9"/>
    <x v="9"/>
    <x v="9"/>
  </r>
  <r>
    <x v="2"/>
    <x v="99"/>
    <x v="1"/>
    <x v="2"/>
    <d v="2026-03-31T22:56:00"/>
    <d v="2026-04-01T01:57:00"/>
    <x v="14"/>
    <n v="2428"/>
    <s v="M/M 30/1 CARDADA OE CINZA CLARO"/>
    <x v="1"/>
    <x v="3"/>
    <x v="3"/>
    <x v="9"/>
    <x v="9"/>
    <x v="9"/>
  </r>
  <r>
    <x v="2"/>
    <x v="100"/>
    <x v="1"/>
    <x v="2"/>
    <d v="2026-04-01T01:58:00"/>
    <d v="2026-04-01T04:58:00"/>
    <x v="14"/>
    <n v="2853"/>
    <s v="M/M 30/1 CARDADA OE AZUL BEBÊ"/>
    <x v="1"/>
    <x v="3"/>
    <x v="3"/>
    <x v="9"/>
    <x v="9"/>
    <x v="9"/>
  </r>
  <r>
    <x v="2"/>
    <x v="101"/>
    <x v="1"/>
    <x v="6"/>
    <d v="2026-04-01T03:35:00"/>
    <d v="2026-04-01T09:54:00"/>
    <x v="4"/>
    <n v="14566"/>
    <s v="MOLETOM PA TUBULAR VINHO"/>
    <x v="1"/>
    <x v="3"/>
    <x v="3"/>
    <x v="9"/>
    <x v="9"/>
    <x v="9"/>
  </r>
  <r>
    <x v="2"/>
    <x v="102"/>
    <x v="1"/>
    <x v="2"/>
    <d v="2026-04-01T04:59:00"/>
    <d v="2026-04-01T07:59:00"/>
    <x v="14"/>
    <n v="2427"/>
    <s v="M/M 30/1 CARDADA OE AMARELO BEBÊ"/>
    <x v="0"/>
    <x v="2"/>
    <x v="3"/>
    <x v="9"/>
    <x v="9"/>
    <x v="9"/>
  </r>
  <r>
    <x v="2"/>
    <x v="103"/>
    <x v="0"/>
    <x v="2"/>
    <d v="2026-04-02T06:12:00"/>
    <d v="2026-04-02T09:34:00"/>
    <x v="15"/>
    <n v="230"/>
    <s v="SUPLEX LIGHT UV 50+ BRANCO"/>
    <x v="1"/>
    <x v="3"/>
    <x v="1"/>
    <x v="23"/>
    <x v="7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15" firstHeaderRow="1" firstDataRow="1" firstDataCol="1" rowPageCount="1" colPageCount="1"/>
  <pivotFields count="15">
    <pivotField axis="axisRow" showAll="0" defaultSubtotal="0">
      <items count="25">
        <item x="2"/>
        <item x="1"/>
        <item x="3"/>
        <item x="5"/>
        <item x="24"/>
        <item x="7"/>
        <item x="8"/>
        <item x="10"/>
        <item x="6"/>
        <item x="11"/>
        <item x="12"/>
        <item x="13"/>
        <item x="15"/>
        <item x="0"/>
        <item x="4"/>
        <item x="9"/>
        <item x="14"/>
        <item x="16"/>
        <item x="17"/>
        <item x="18"/>
        <item x="19"/>
        <item x="20"/>
        <item x="21"/>
        <item x="22"/>
        <item x="23"/>
      </items>
    </pivotField>
    <pivotField axis="axisRow" showAll="0" sortType="ascending" defaultSubtotal="0">
      <items count="104">
        <item x="2"/>
        <item x="3"/>
        <item x="9"/>
        <item x="12"/>
        <item x="6"/>
        <item x="5"/>
        <item x="18"/>
        <item x="17"/>
        <item x="103"/>
        <item x="98"/>
        <item x="97"/>
        <item x="21"/>
        <item x="22"/>
        <item x="26"/>
        <item x="4"/>
        <item x="24"/>
        <item x="23"/>
        <item x="8"/>
        <item x="11"/>
        <item x="30"/>
        <item x="31"/>
        <item x="35"/>
        <item x="40"/>
        <item x="39"/>
        <item x="20"/>
        <item x="19"/>
        <item x="43"/>
        <item x="44"/>
        <item x="45"/>
        <item x="46"/>
        <item x="51"/>
        <item x="53"/>
        <item x="52"/>
        <item x="63"/>
        <item x="61"/>
        <item x="62"/>
        <item x="72"/>
        <item x="92"/>
        <item x="96"/>
        <item x="99"/>
        <item x="101"/>
        <item x="100"/>
        <item x="102"/>
        <item x="0"/>
        <item x="1"/>
        <item x="7"/>
        <item x="10"/>
        <item x="13"/>
        <item x="14"/>
        <item x="15"/>
        <item x="16"/>
        <item x="25"/>
        <item x="27"/>
        <item x="28"/>
        <item x="29"/>
        <item x="32"/>
        <item x="34"/>
        <item x="33"/>
        <item x="36"/>
        <item x="37"/>
        <item x="38"/>
        <item x="41"/>
        <item x="42"/>
        <item x="47"/>
        <item x="48"/>
        <item x="49"/>
        <item x="50"/>
        <item x="54"/>
        <item x="55"/>
        <item x="57"/>
        <item x="56"/>
        <item x="58"/>
        <item x="59"/>
        <item x="60"/>
        <item x="65"/>
        <item x="64"/>
        <item x="66"/>
        <item x="67"/>
        <item x="68"/>
        <item x="69"/>
        <item x="70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6"/>
        <item x="85"/>
        <item x="88"/>
        <item x="87"/>
        <item x="89"/>
        <item x="90"/>
        <item x="91"/>
        <item x="93"/>
        <item x="94"/>
        <item x="9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5"/>
        <item x="4"/>
        <item x="3"/>
        <item x="2"/>
        <item x="6"/>
        <item x="7"/>
        <item x="10"/>
        <item x="0"/>
        <item x="9"/>
        <item x="8"/>
        <item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12">
    <i>
      <x/>
    </i>
    <i r="1">
      <x/>
    </i>
    <i r="2">
      <x v="90"/>
    </i>
    <i>
      <x v="1"/>
    </i>
    <i r="1">
      <x/>
    </i>
    <i r="2">
      <x v="11"/>
    </i>
    <i r="2">
      <x v="13"/>
    </i>
    <i r="2">
      <x v="72"/>
    </i>
    <i r="2">
      <x v="83"/>
    </i>
    <i r="2">
      <x v="93"/>
    </i>
    <i>
      <x v="2"/>
    </i>
    <i r="1">
      <x/>
    </i>
    <i r="2">
      <x v="12"/>
    </i>
    <i r="2">
      <x v="21"/>
    </i>
    <i r="2">
      <x v="30"/>
    </i>
    <i r="2">
      <x v="33"/>
    </i>
    <i r="2">
      <x v="36"/>
    </i>
    <i r="2">
      <x v="92"/>
    </i>
    <i r="2">
      <x v="100"/>
    </i>
    <i r="2">
      <x v="101"/>
    </i>
    <i>
      <x v="3"/>
    </i>
    <i r="1">
      <x/>
    </i>
    <i r="2">
      <x v="59"/>
    </i>
    <i r="2">
      <x v="64"/>
    </i>
    <i r="2">
      <x v="98"/>
    </i>
    <i r="2">
      <x v="37"/>
    </i>
    <i r="2">
      <x v="38"/>
    </i>
    <i r="2">
      <x v="39"/>
    </i>
    <i r="2">
      <x v="41"/>
    </i>
    <i r="2">
      <x v="42"/>
    </i>
    <i r="1">
      <x v="8"/>
    </i>
    <i r="2">
      <x v="24"/>
    </i>
    <i r="2">
      <x v="25"/>
    </i>
    <i>
      <x v="4"/>
    </i>
    <i r="1">
      <x/>
    </i>
    <i r="2">
      <x v="53"/>
    </i>
    <i r="2">
      <x v="40"/>
    </i>
    <i r="1">
      <x v="9"/>
    </i>
    <i r="2">
      <x v="26"/>
    </i>
    <i r="2">
      <x v="27"/>
    </i>
    <i r="1">
      <x v="12"/>
    </i>
    <i r="2">
      <x v="34"/>
    </i>
    <i r="2">
      <x v="35"/>
    </i>
    <i>
      <x v="5"/>
    </i>
    <i r="1">
      <x/>
    </i>
    <i r="2">
      <x v="18"/>
    </i>
    <i r="2">
      <x v="58"/>
    </i>
    <i r="2">
      <x v="62"/>
    </i>
    <i r="2">
      <x v="67"/>
    </i>
    <i r="2">
      <x v="76"/>
    </i>
    <i r="2">
      <x v="84"/>
    </i>
    <i r="2">
      <x v="91"/>
    </i>
    <i>
      <x v="6"/>
    </i>
    <i r="1">
      <x/>
    </i>
    <i r="2">
      <x v="54"/>
    </i>
    <i r="2">
      <x v="63"/>
    </i>
    <i>
      <x v="7"/>
    </i>
    <i r="1">
      <x/>
    </i>
    <i r="2">
      <x v="66"/>
    </i>
    <i r="2">
      <x v="71"/>
    </i>
    <i r="2">
      <x v="82"/>
    </i>
    <i r="2">
      <x v="99"/>
    </i>
    <i>
      <x v="8"/>
    </i>
    <i r="1">
      <x v="17"/>
    </i>
    <i r="2">
      <x v="74"/>
    </i>
    <i r="2">
      <x v="75"/>
    </i>
    <i r="1">
      <x v="23"/>
    </i>
    <i r="2">
      <x v="96"/>
    </i>
    <i r="2">
      <x v="97"/>
    </i>
    <i r="1">
      <x v="24"/>
    </i>
    <i r="2">
      <x v="102"/>
    </i>
    <i r="2">
      <x v="103"/>
    </i>
    <i>
      <x v="9"/>
    </i>
    <i r="1">
      <x/>
    </i>
    <i r="2">
      <x v="68"/>
    </i>
    <i r="2">
      <x v="79"/>
    </i>
    <i r="2">
      <x v="87"/>
    </i>
    <i>
      <x v="10"/>
    </i>
    <i r="1">
      <x v="4"/>
    </i>
    <i r="2">
      <x v="9"/>
    </i>
    <i r="2">
      <x v="10"/>
    </i>
    <i r="1">
      <x v="5"/>
    </i>
    <i r="2">
      <x v="15"/>
    </i>
    <i r="2">
      <x v="16"/>
    </i>
    <i r="1">
      <x v="6"/>
    </i>
    <i r="2">
      <x v="19"/>
    </i>
    <i r="2">
      <x v="20"/>
    </i>
    <i r="1">
      <x v="10"/>
    </i>
    <i r="2">
      <x v="28"/>
    </i>
    <i r="2">
      <x v="29"/>
    </i>
    <i r="1">
      <x v="11"/>
    </i>
    <i r="2">
      <x v="31"/>
    </i>
    <i r="2">
      <x v="32"/>
    </i>
    <i r="1">
      <x v="16"/>
    </i>
    <i r="2">
      <x v="69"/>
    </i>
    <i r="2">
      <x v="70"/>
    </i>
    <i r="1">
      <x v="18"/>
    </i>
    <i r="2">
      <x v="77"/>
    </i>
    <i r="2">
      <x v="78"/>
    </i>
    <i r="1">
      <x v="19"/>
    </i>
    <i r="2">
      <x v="80"/>
    </i>
    <i r="2">
      <x v="81"/>
    </i>
    <i r="1">
      <x v="20"/>
    </i>
    <i r="2">
      <x v="85"/>
    </i>
    <i r="2">
      <x v="86"/>
    </i>
    <i r="1">
      <x v="21"/>
    </i>
    <i r="2">
      <x v="88"/>
    </i>
    <i r="2">
      <x v="89"/>
    </i>
    <i r="1">
      <x v="22"/>
    </i>
    <i r="2">
      <x v="94"/>
    </i>
    <i r="2">
      <x v="95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15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171972</v>
      </c>
      <c r="B6" s="5">
        <v>46112.454861111109</v>
      </c>
    </row>
    <row r="7" spans="1:2" x14ac:dyDescent="0.25">
      <c r="A7" s="2" t="s">
        <v>6</v>
      </c>
      <c r="B7" s="5"/>
    </row>
    <row r="8" spans="1:2" x14ac:dyDescent="0.25">
      <c r="A8" s="3">
        <v>0</v>
      </c>
      <c r="B8" s="5"/>
    </row>
    <row r="9" spans="1:2" x14ac:dyDescent="0.25">
      <c r="A9" s="4">
        <v>171847</v>
      </c>
      <c r="B9" s="5">
        <v>46111.744444444441</v>
      </c>
    </row>
    <row r="10" spans="1:2" x14ac:dyDescent="0.25">
      <c r="A10" s="4">
        <v>171848</v>
      </c>
      <c r="B10" s="5">
        <v>46111.834722222222</v>
      </c>
    </row>
    <row r="11" spans="1:2" x14ac:dyDescent="0.25">
      <c r="A11" s="4">
        <v>171824</v>
      </c>
      <c r="B11" s="5">
        <v>46112.201388888891</v>
      </c>
    </row>
    <row r="12" spans="1:2" x14ac:dyDescent="0.25">
      <c r="A12" s="4">
        <v>171922</v>
      </c>
      <c r="B12" s="5">
        <v>46112.339583333334</v>
      </c>
    </row>
    <row r="13" spans="1:2" x14ac:dyDescent="0.25">
      <c r="A13" s="4">
        <v>171923</v>
      </c>
      <c r="B13" s="5">
        <v>46112.477777777778</v>
      </c>
    </row>
    <row r="14" spans="1:2" x14ac:dyDescent="0.25">
      <c r="A14" s="2" t="s">
        <v>10</v>
      </c>
      <c r="B14" s="5"/>
    </row>
    <row r="15" spans="1:2" x14ac:dyDescent="0.25">
      <c r="A15" s="3">
        <v>0</v>
      </c>
      <c r="B15" s="5"/>
    </row>
    <row r="16" spans="1:2" x14ac:dyDescent="0.25">
      <c r="A16" s="4">
        <v>171978</v>
      </c>
      <c r="B16" s="5">
        <v>46111.758333333331</v>
      </c>
    </row>
    <row r="17" spans="1:2" x14ac:dyDescent="0.25">
      <c r="A17" s="4">
        <v>171062</v>
      </c>
      <c r="B17" s="5">
        <v>46111.899305555555</v>
      </c>
    </row>
    <row r="18" spans="1:2" x14ac:dyDescent="0.25">
      <c r="A18" s="4">
        <v>171851</v>
      </c>
      <c r="B18" s="5">
        <v>46112.087500000001</v>
      </c>
    </row>
    <row r="19" spans="1:2" x14ac:dyDescent="0.25">
      <c r="A19" s="4">
        <v>171854</v>
      </c>
      <c r="B19" s="5">
        <v>46112.209722222222</v>
      </c>
    </row>
    <row r="20" spans="1:2" x14ac:dyDescent="0.25">
      <c r="A20" s="4">
        <v>171857</v>
      </c>
      <c r="B20" s="5">
        <v>46112.331944444442</v>
      </c>
    </row>
    <row r="21" spans="1:2" x14ac:dyDescent="0.25">
      <c r="A21" s="4">
        <v>171863</v>
      </c>
      <c r="B21" s="5">
        <v>46112.472916666666</v>
      </c>
    </row>
    <row r="22" spans="1:2" x14ac:dyDescent="0.25">
      <c r="A22" s="4">
        <v>171860</v>
      </c>
      <c r="B22" s="5">
        <v>46112.599305555559</v>
      </c>
    </row>
    <row r="23" spans="1:2" x14ac:dyDescent="0.25">
      <c r="A23" s="4">
        <v>171958</v>
      </c>
      <c r="B23" s="5">
        <v>46112.72152777778</v>
      </c>
    </row>
    <row r="24" spans="1:2" x14ac:dyDescent="0.25">
      <c r="A24" s="2" t="s">
        <v>11</v>
      </c>
      <c r="B24" s="5"/>
    </row>
    <row r="25" spans="1:2" x14ac:dyDescent="0.25">
      <c r="A25" s="3">
        <v>0</v>
      </c>
      <c r="B25" s="5"/>
    </row>
    <row r="26" spans="1:2" x14ac:dyDescent="0.25">
      <c r="A26" s="4">
        <v>171868</v>
      </c>
      <c r="B26" s="5">
        <v>46111.918055555558</v>
      </c>
    </row>
    <row r="27" spans="1:2" x14ac:dyDescent="0.25">
      <c r="A27" s="4">
        <v>171789</v>
      </c>
      <c r="B27" s="5">
        <v>46112.060416666667</v>
      </c>
    </row>
    <row r="28" spans="1:2" x14ac:dyDescent="0.25">
      <c r="A28" s="4">
        <v>172015</v>
      </c>
      <c r="B28" s="5">
        <v>46112.552083333336</v>
      </c>
    </row>
    <row r="29" spans="1:2" x14ac:dyDescent="0.25">
      <c r="A29" s="4">
        <v>171751</v>
      </c>
      <c r="B29" s="5">
        <v>46112.707638888889</v>
      </c>
    </row>
    <row r="30" spans="1:2" x14ac:dyDescent="0.25">
      <c r="A30" s="4">
        <v>171749</v>
      </c>
      <c r="B30" s="5">
        <v>46112.829861111109</v>
      </c>
    </row>
    <row r="31" spans="1:2" x14ac:dyDescent="0.25">
      <c r="A31" s="4">
        <v>171748</v>
      </c>
      <c r="B31" s="5">
        <v>46112.955555555556</v>
      </c>
    </row>
    <row r="32" spans="1:2" x14ac:dyDescent="0.25">
      <c r="A32" s="4">
        <v>171747</v>
      </c>
      <c r="B32" s="5">
        <v>46113.081944444442</v>
      </c>
    </row>
    <row r="33" spans="1:2" x14ac:dyDescent="0.25">
      <c r="A33" s="4">
        <v>171759</v>
      </c>
      <c r="B33" s="5">
        <v>46113.207638888889</v>
      </c>
    </row>
    <row r="34" spans="1:2" x14ac:dyDescent="0.25">
      <c r="A34" s="3">
        <v>185606</v>
      </c>
      <c r="B34" s="5"/>
    </row>
    <row r="35" spans="1:2" x14ac:dyDescent="0.25">
      <c r="A35" s="4">
        <v>171814</v>
      </c>
      <c r="B35" s="5">
        <v>46111.729861111111</v>
      </c>
    </row>
    <row r="36" spans="1:2" x14ac:dyDescent="0.25">
      <c r="A36" s="4">
        <v>171815</v>
      </c>
      <c r="B36" s="5">
        <v>46111.729861111111</v>
      </c>
    </row>
    <row r="37" spans="1:2" x14ac:dyDescent="0.25">
      <c r="A37" s="2" t="s">
        <v>7</v>
      </c>
      <c r="B37" s="5"/>
    </row>
    <row r="38" spans="1:2" x14ac:dyDescent="0.25">
      <c r="A38" s="3">
        <v>0</v>
      </c>
      <c r="B38" s="5"/>
    </row>
    <row r="39" spans="1:2" x14ac:dyDescent="0.25">
      <c r="A39" s="4">
        <v>171775</v>
      </c>
      <c r="B39" s="5">
        <v>46111.849305555559</v>
      </c>
    </row>
    <row r="40" spans="1:2" x14ac:dyDescent="0.25">
      <c r="A40" s="4">
        <v>171772</v>
      </c>
      <c r="B40" s="5">
        <v>46113.149305555555</v>
      </c>
    </row>
    <row r="41" spans="1:2" x14ac:dyDescent="0.25">
      <c r="A41" s="3">
        <v>185603</v>
      </c>
      <c r="B41" s="5"/>
    </row>
    <row r="42" spans="1:2" x14ac:dyDescent="0.25">
      <c r="A42" s="4">
        <v>171781</v>
      </c>
      <c r="B42" s="5">
        <v>46111.988194444442</v>
      </c>
    </row>
    <row r="43" spans="1:2" x14ac:dyDescent="0.25">
      <c r="A43" s="4">
        <v>171779</v>
      </c>
      <c r="B43" s="5">
        <v>46111.988194444442</v>
      </c>
    </row>
    <row r="44" spans="1:2" x14ac:dyDescent="0.25">
      <c r="A44" s="3">
        <v>185604</v>
      </c>
      <c r="B44" s="5"/>
    </row>
    <row r="45" spans="1:2" x14ac:dyDescent="0.25">
      <c r="A45" s="4">
        <v>171782</v>
      </c>
      <c r="B45" s="5">
        <v>46112.208333333336</v>
      </c>
    </row>
    <row r="46" spans="1:2" x14ac:dyDescent="0.25">
      <c r="A46" s="4">
        <v>171780</v>
      </c>
      <c r="B46" s="5">
        <v>46112.208333333336</v>
      </c>
    </row>
    <row r="47" spans="1:2" x14ac:dyDescent="0.25">
      <c r="A47" s="2" t="s">
        <v>12</v>
      </c>
      <c r="B47" s="5"/>
    </row>
    <row r="48" spans="1:2" x14ac:dyDescent="0.25">
      <c r="A48" s="3">
        <v>0</v>
      </c>
      <c r="B48" s="5"/>
    </row>
    <row r="49" spans="1:2" x14ac:dyDescent="0.25">
      <c r="A49" s="4">
        <v>171996</v>
      </c>
      <c r="B49" s="5">
        <v>46111.625694444447</v>
      </c>
    </row>
    <row r="50" spans="1:2" x14ac:dyDescent="0.25">
      <c r="A50" s="4">
        <v>171804</v>
      </c>
      <c r="B50" s="5">
        <v>46111.911805555559</v>
      </c>
    </row>
    <row r="51" spans="1:2" x14ac:dyDescent="0.25">
      <c r="A51" s="4">
        <v>171764</v>
      </c>
      <c r="B51" s="5">
        <v>46111.970138888886</v>
      </c>
    </row>
    <row r="52" spans="1:2" x14ac:dyDescent="0.25">
      <c r="A52" s="4">
        <v>171765</v>
      </c>
      <c r="B52" s="5">
        <v>46112.095833333333</v>
      </c>
    </row>
    <row r="53" spans="1:2" x14ac:dyDescent="0.25">
      <c r="A53" s="4">
        <v>171059</v>
      </c>
      <c r="B53" s="5">
        <v>46112.22152777778</v>
      </c>
    </row>
    <row r="54" spans="1:2" x14ac:dyDescent="0.25">
      <c r="A54" s="4">
        <v>172000</v>
      </c>
      <c r="B54" s="5">
        <v>46112.347222222219</v>
      </c>
    </row>
    <row r="55" spans="1:2" x14ac:dyDescent="0.25">
      <c r="A55" s="4">
        <v>171806</v>
      </c>
      <c r="B55" s="5">
        <v>46112.469444444447</v>
      </c>
    </row>
    <row r="56" spans="1:2" x14ac:dyDescent="0.25">
      <c r="A56" s="2" t="s">
        <v>13</v>
      </c>
      <c r="B56" s="5"/>
    </row>
    <row r="57" spans="1:2" x14ac:dyDescent="0.25">
      <c r="A57" s="3">
        <v>0</v>
      </c>
      <c r="B57" s="5"/>
    </row>
    <row r="58" spans="1:2" x14ac:dyDescent="0.25">
      <c r="A58" s="4">
        <v>172063</v>
      </c>
      <c r="B58" s="5">
        <v>46111.852083333331</v>
      </c>
    </row>
    <row r="59" spans="1:2" x14ac:dyDescent="0.25">
      <c r="A59" s="4">
        <v>172064</v>
      </c>
      <c r="B59" s="5">
        <v>46112.043749999997</v>
      </c>
    </row>
    <row r="60" spans="1:2" x14ac:dyDescent="0.25">
      <c r="A60" s="2" t="s">
        <v>15</v>
      </c>
      <c r="B60" s="5"/>
    </row>
    <row r="61" spans="1:2" x14ac:dyDescent="0.25">
      <c r="A61" s="3">
        <v>0</v>
      </c>
      <c r="B61" s="5"/>
    </row>
    <row r="62" spans="1:2" x14ac:dyDescent="0.25">
      <c r="A62" s="4">
        <v>171777</v>
      </c>
      <c r="B62" s="5">
        <v>46112.065972222219</v>
      </c>
    </row>
    <row r="63" spans="1:2" x14ac:dyDescent="0.25">
      <c r="A63" s="4">
        <v>171776</v>
      </c>
      <c r="B63" s="5">
        <v>46112.200694444444</v>
      </c>
    </row>
    <row r="64" spans="1:2" x14ac:dyDescent="0.25">
      <c r="A64" s="4">
        <v>171870</v>
      </c>
      <c r="B64" s="5">
        <v>46112.335416666669</v>
      </c>
    </row>
    <row r="65" spans="1:2" x14ac:dyDescent="0.25">
      <c r="A65" s="4">
        <v>171791</v>
      </c>
      <c r="B65" s="5">
        <v>46112.555555555555</v>
      </c>
    </row>
    <row r="66" spans="1:2" x14ac:dyDescent="0.25">
      <c r="A66" s="2" t="s">
        <v>8</v>
      </c>
      <c r="B66" s="5"/>
    </row>
    <row r="67" spans="1:2" x14ac:dyDescent="0.25">
      <c r="A67" s="3">
        <v>185676</v>
      </c>
      <c r="B67" s="5"/>
    </row>
    <row r="68" spans="1:2" x14ac:dyDescent="0.25">
      <c r="A68" s="4">
        <v>171971</v>
      </c>
      <c r="B68" s="5">
        <v>46112.21597222222</v>
      </c>
    </row>
    <row r="69" spans="1:2" x14ac:dyDescent="0.25">
      <c r="A69" s="4">
        <v>171970</v>
      </c>
      <c r="B69" s="5">
        <v>46112.21597222222</v>
      </c>
    </row>
    <row r="70" spans="1:2" x14ac:dyDescent="0.25">
      <c r="A70" s="3">
        <v>185679</v>
      </c>
      <c r="B70" s="5"/>
    </row>
    <row r="71" spans="1:2" x14ac:dyDescent="0.25">
      <c r="A71" s="4">
        <v>171944</v>
      </c>
      <c r="B71" s="5">
        <v>46112.547222222223</v>
      </c>
    </row>
    <row r="72" spans="1:2" x14ac:dyDescent="0.25">
      <c r="A72" s="4">
        <v>171945</v>
      </c>
      <c r="B72" s="5">
        <v>46112.547222222223</v>
      </c>
    </row>
    <row r="73" spans="1:2" x14ac:dyDescent="0.25">
      <c r="A73" s="3">
        <v>185678</v>
      </c>
      <c r="B73" s="5"/>
    </row>
    <row r="74" spans="1:2" x14ac:dyDescent="0.25">
      <c r="A74" s="4">
        <v>171946</v>
      </c>
      <c r="B74" s="5">
        <v>46112.805555555555</v>
      </c>
    </row>
    <row r="75" spans="1:2" x14ac:dyDescent="0.25">
      <c r="A75" s="4">
        <v>171947</v>
      </c>
      <c r="B75" s="5">
        <v>46112.805555555555</v>
      </c>
    </row>
    <row r="76" spans="1:2" x14ac:dyDescent="0.25">
      <c r="A76" s="2" t="s">
        <v>9</v>
      </c>
      <c r="B76" s="5"/>
    </row>
    <row r="77" spans="1:2" x14ac:dyDescent="0.25">
      <c r="A77" s="3">
        <v>0</v>
      </c>
      <c r="B77" s="5"/>
    </row>
    <row r="78" spans="1:2" x14ac:dyDescent="0.25">
      <c r="A78" s="4">
        <v>171828</v>
      </c>
      <c r="B78" s="5">
        <v>46112.104861111111</v>
      </c>
    </row>
    <row r="79" spans="1:2" x14ac:dyDescent="0.25">
      <c r="A79" s="4">
        <v>171829</v>
      </c>
      <c r="B79" s="5">
        <v>46112.254166666666</v>
      </c>
    </row>
    <row r="80" spans="1:2" x14ac:dyDescent="0.25">
      <c r="A80" s="4">
        <v>171830</v>
      </c>
      <c r="B80" s="5">
        <v>46112.40347222222</v>
      </c>
    </row>
    <row r="81" spans="1:2" x14ac:dyDescent="0.25">
      <c r="A81" s="2" t="s">
        <v>14</v>
      </c>
      <c r="B81" s="5"/>
    </row>
    <row r="82" spans="1:2" x14ac:dyDescent="0.25">
      <c r="A82" s="3">
        <v>185645</v>
      </c>
      <c r="B82" s="5"/>
    </row>
    <row r="83" spans="1:2" x14ac:dyDescent="0.25">
      <c r="A83" s="4">
        <v>171466</v>
      </c>
      <c r="B83" s="5">
        <v>46112.834722222222</v>
      </c>
    </row>
    <row r="84" spans="1:2" x14ac:dyDescent="0.25">
      <c r="A84" s="4">
        <v>171467</v>
      </c>
      <c r="B84" s="5">
        <v>46112.834722222222</v>
      </c>
    </row>
    <row r="85" spans="1:2" x14ac:dyDescent="0.25">
      <c r="A85" s="3">
        <v>185711</v>
      </c>
      <c r="B85" s="5"/>
    </row>
    <row r="86" spans="1:2" x14ac:dyDescent="0.25">
      <c r="A86" s="4">
        <v>171844</v>
      </c>
      <c r="B86" s="5">
        <v>46111.760416666664</v>
      </c>
    </row>
    <row r="87" spans="1:2" x14ac:dyDescent="0.25">
      <c r="A87" s="4">
        <v>171843</v>
      </c>
      <c r="B87" s="5">
        <v>46111.760416666664</v>
      </c>
    </row>
    <row r="88" spans="1:2" x14ac:dyDescent="0.25">
      <c r="A88" s="3">
        <v>185710</v>
      </c>
      <c r="B88" s="5"/>
    </row>
    <row r="89" spans="1:2" x14ac:dyDescent="0.25">
      <c r="A89" s="4">
        <v>171846</v>
      </c>
      <c r="B89" s="5">
        <v>46111.857638888891</v>
      </c>
    </row>
    <row r="90" spans="1:2" x14ac:dyDescent="0.25">
      <c r="A90" s="4">
        <v>171845</v>
      </c>
      <c r="B90" s="5">
        <v>46111.857638888891</v>
      </c>
    </row>
    <row r="91" spans="1:2" x14ac:dyDescent="0.25">
      <c r="A91" s="3">
        <v>185641</v>
      </c>
      <c r="B91" s="5"/>
    </row>
    <row r="92" spans="1:2" x14ac:dyDescent="0.25">
      <c r="A92" s="4">
        <v>171482</v>
      </c>
      <c r="B92" s="5">
        <v>46112.022222222222</v>
      </c>
    </row>
    <row r="93" spans="1:2" x14ac:dyDescent="0.25">
      <c r="A93" s="4">
        <v>171481</v>
      </c>
      <c r="B93" s="5">
        <v>46112.022222222222</v>
      </c>
    </row>
    <row r="94" spans="1:2" x14ac:dyDescent="0.25">
      <c r="A94" s="3">
        <v>185640</v>
      </c>
      <c r="B94" s="5"/>
    </row>
    <row r="95" spans="1:2" x14ac:dyDescent="0.25">
      <c r="A95" s="4">
        <v>171483</v>
      </c>
      <c r="B95" s="5">
        <v>46112.089583333334</v>
      </c>
    </row>
    <row r="96" spans="1:2" x14ac:dyDescent="0.25">
      <c r="A96" s="4">
        <v>171484</v>
      </c>
      <c r="B96" s="5">
        <v>46112.089583333334</v>
      </c>
    </row>
    <row r="97" spans="1:2" x14ac:dyDescent="0.25">
      <c r="A97" s="3">
        <v>185639</v>
      </c>
      <c r="B97" s="5"/>
    </row>
    <row r="98" spans="1:2" x14ac:dyDescent="0.25">
      <c r="A98" s="4">
        <v>171485</v>
      </c>
      <c r="B98" s="5">
        <v>46112.156944444447</v>
      </c>
    </row>
    <row r="99" spans="1:2" x14ac:dyDescent="0.25">
      <c r="A99" s="4">
        <v>171486</v>
      </c>
      <c r="B99" s="5">
        <v>46112.156944444447</v>
      </c>
    </row>
    <row r="100" spans="1:2" x14ac:dyDescent="0.25">
      <c r="A100" s="3">
        <v>185638</v>
      </c>
      <c r="B100" s="5"/>
    </row>
    <row r="101" spans="1:2" x14ac:dyDescent="0.25">
      <c r="A101" s="4">
        <v>171487</v>
      </c>
      <c r="B101" s="5">
        <v>46112.224305555559</v>
      </c>
    </row>
    <row r="102" spans="1:2" x14ac:dyDescent="0.25">
      <c r="A102" s="4">
        <v>171488</v>
      </c>
      <c r="B102" s="5">
        <v>46112.224305555559</v>
      </c>
    </row>
    <row r="103" spans="1:2" x14ac:dyDescent="0.25">
      <c r="A103" s="3">
        <v>185637</v>
      </c>
      <c r="B103" s="5"/>
    </row>
    <row r="104" spans="1:2" x14ac:dyDescent="0.25">
      <c r="A104" s="4">
        <v>171489</v>
      </c>
      <c r="B104" s="5">
        <v>46112.291666666664</v>
      </c>
    </row>
    <row r="105" spans="1:2" x14ac:dyDescent="0.25">
      <c r="A105" s="4">
        <v>171490</v>
      </c>
      <c r="B105" s="5">
        <v>46112.291666666664</v>
      </c>
    </row>
    <row r="106" spans="1:2" x14ac:dyDescent="0.25">
      <c r="A106" s="3">
        <v>185636</v>
      </c>
      <c r="B106" s="5"/>
    </row>
    <row r="107" spans="1:2" x14ac:dyDescent="0.25">
      <c r="A107" s="4">
        <v>171492</v>
      </c>
      <c r="B107" s="5">
        <v>46112.359027777777</v>
      </c>
    </row>
    <row r="108" spans="1:2" x14ac:dyDescent="0.25">
      <c r="A108" s="4">
        <v>171491</v>
      </c>
      <c r="B108" s="5">
        <v>46112.359027777777</v>
      </c>
    </row>
    <row r="109" spans="1:2" x14ac:dyDescent="0.25">
      <c r="A109" s="3">
        <v>185635</v>
      </c>
      <c r="B109" s="5"/>
    </row>
    <row r="110" spans="1:2" x14ac:dyDescent="0.25">
      <c r="A110" s="4">
        <v>171494</v>
      </c>
      <c r="B110" s="5">
        <v>46112.426388888889</v>
      </c>
    </row>
    <row r="111" spans="1:2" x14ac:dyDescent="0.25">
      <c r="A111" s="4">
        <v>171493</v>
      </c>
      <c r="B111" s="5">
        <v>46112.426388888889</v>
      </c>
    </row>
    <row r="112" spans="1:2" x14ac:dyDescent="0.25">
      <c r="A112" s="3">
        <v>185634</v>
      </c>
      <c r="B112" s="5"/>
    </row>
    <row r="113" spans="1:2" x14ac:dyDescent="0.25">
      <c r="A113" s="4">
        <v>171496</v>
      </c>
      <c r="B113" s="5">
        <v>46112.493750000001</v>
      </c>
    </row>
    <row r="114" spans="1:2" x14ac:dyDescent="0.25">
      <c r="A114" s="4">
        <v>171495</v>
      </c>
      <c r="B114" s="5">
        <v>46112.493750000001</v>
      </c>
    </row>
    <row r="115" spans="1:2" x14ac:dyDescent="0.25">
      <c r="A115" s="2" t="s">
        <v>1</v>
      </c>
      <c r="B115" s="5">
        <v>46111.625694444447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2026-03-31T11:53:03Z</dcterms:modified>
</cp:coreProperties>
</file>