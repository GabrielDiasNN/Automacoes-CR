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192DA3A6-73A1-4233-B0B4-2C3023FD684D}" xr6:coauthVersionLast="47" xr6:coauthVersionMax="47" xr10:uidLastSave="{00000000-0000-0000-0000-000000000000}"/>
  <bookViews>
    <workbookView xWindow="6345" yWindow="2550" windowWidth="28800" windowHeight="11385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<sst xmlns="http://schemas.openxmlformats.org/spreadsheetml/2006/main" count="20" uniqueCount="20">
  <si>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</si>
  <si>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</si>
  <si>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</si>
  <si>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</si>
  <si>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</si>
  <si>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</si>
  <si>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</si>
  <si>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</si>
  <si>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</si>
  <si>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</si>
  <si>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</si>
  <si>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</si>
  <si>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</si>
  <si>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</si>
  <si>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</si>
  <si>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</si>
  <si>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</si>
  <si>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</si>
  <si>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</si>
  <si>
    <t>gabriel.dias@costaricamalhas.ind.br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</si>
</sst>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  <xf numFmtId="0" fontId="1" fillId="0" borderId="1" xfId="1" applyFont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35.540624074078" missingItemsLimit="0" createdVersion="7" refreshedVersion="7" minRefreshableVersion="3" recordCount="91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6032" count="23">
        <n v="0"/>
        <n v="185813"/>
        <n v="185999"/>
        <n v="186006"/>
        <n v="185810"/>
        <n v="185998"/>
        <n v="185939"/>
        <n v="186009"/>
        <n v="185993"/>
        <n v="186008"/>
        <n v="185924"/>
        <n v="186032"/>
        <n v="185925"/>
        <n v="185926"/>
        <n v="186005"/>
        <n v="185938"/>
        <n v="185927"/>
        <n v="185928"/>
        <n v="185990"/>
        <n v="186004"/>
        <n v="185929"/>
        <n v="185930"/>
        <n v="186010"/>
      </sharedItems>
    </cacheField>
    <cacheField name="NUMERO_OB" numFmtId="0">
      <sharedItems containsSemiMixedTypes="0" containsString="0" containsNumber="1" containsInteger="1" minValue="172816" maxValue="174708" count="91">
        <n v="172854"/>
        <n v="173237"/>
        <n v="173264"/>
        <n v="173859"/>
        <n v="173876"/>
        <n v="174202"/>
        <n v="173926"/>
        <n v="173821"/>
        <n v="173822"/>
        <n v="173945"/>
        <n v="174238"/>
        <n v="174051"/>
        <n v="173953"/>
        <n v="173952"/>
        <n v="173830"/>
        <n v="173920"/>
        <n v="173826"/>
        <n v="173232"/>
        <n v="173234"/>
        <n v="173230"/>
        <n v="173228"/>
        <n v="173898"/>
        <n v="173824"/>
        <n v="173825"/>
        <n v="174230"/>
        <n v="174086"/>
        <n v="174095"/>
        <n v="174246"/>
        <n v="174208"/>
        <n v="173855"/>
        <n v="173856"/>
        <n v="173902"/>
        <n v="174228"/>
        <n v="172853"/>
        <n v="173838"/>
        <n v="173871"/>
        <n v="173870"/>
        <n v="174149"/>
        <n v="174206"/>
        <n v="174237"/>
        <n v="174207"/>
        <n v="173857"/>
        <n v="173858"/>
        <n v="174708"/>
        <n v="172816"/>
        <n v="172817"/>
        <n v="174235"/>
        <n v="173944"/>
        <n v="174356"/>
        <n v="174355"/>
        <n v="172818"/>
        <n v="172819"/>
        <n v="174210"/>
        <n v="173839"/>
        <n v="172820"/>
        <n v="172821"/>
        <n v="174012"/>
        <n v="173956"/>
        <n v="173955"/>
        <n v="173250"/>
        <n v="174028"/>
        <n v="174024"/>
        <n v="174025"/>
        <n v="173797"/>
        <n v="174407"/>
        <n v="173875"/>
        <n v="173928"/>
        <n v="172823"/>
        <n v="172822"/>
        <n v="172824"/>
        <n v="172825"/>
        <n v="174203"/>
        <n v="174204"/>
        <n v="173840"/>
        <n v="174422"/>
        <n v="174421"/>
        <n v="174240"/>
        <n v="173829"/>
        <n v="172827"/>
        <n v="172826"/>
        <n v="174209"/>
        <n v="172829"/>
        <n v="172828"/>
        <n v="174247"/>
        <n v="173933"/>
        <n v="173841"/>
        <n v="173828"/>
        <n v="173827"/>
        <n v="173966"/>
        <n v="173842"/>
        <n v="174281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01"/>
        <s v="MQ06"/>
        <s v="MQ03"/>
        <s v="MQ02"/>
        <s v="MQ10"/>
        <s v="MQ08"/>
        <s v="MQ09"/>
        <s v="MQ07"/>
        <s v="MQ04"/>
        <s v="MQ11"/>
        <s v="MQ05"/>
      </sharedItems>
    </cacheField>
    <cacheField name="INICIO_TING" numFmtId="0">
      <sharedItems containsSemiMixedTypes="0" containsNonDate="0" containsDate="1" containsString="0" minDate="2026-04-23T07:24:00" maxDate="2026-04-24T22:54:00"/>
    </cacheField>
    <cacheField name="FINAL_TING" numFmtId="0">
      <sharedItems containsSemiMixedTypes="0" containsNonDate="0" containsDate="1" containsString="0" minDate="2026-04-23T12:57:00" maxDate="2026-04-25T03:20:00"/>
    </cacheField>
    <cacheField name="ARTIGO" numFmtId="0">
      <sharedItems count="16">
        <s v="00189     "/>
        <s v="00040     "/>
        <s v="00030     "/>
        <s v="00032     "/>
        <s v="00024     "/>
        <s v="00142     "/>
        <s v="00149     "/>
        <s v="00178     "/>
        <s v="00022     "/>
        <s v="00042     "/>
        <s v="00010     "/>
        <s v="00184     "/>
        <s v="00056     "/>
        <s v="00191     "/>
        <s v="00150     "/>
        <s v="00146     "/>
      </sharedItems>
    </cacheField>
    <cacheField name="REDUZIDO" numFmtId="0">
      <sharedItems containsSemiMixedTypes="0" containsString="0" containsNumber="1" containsInteger="1" minValue="206" maxValue="22676"/>
    </cacheField>
    <cacheField name="DESCRICAO" numFmtId="0">
      <sharedItems/>
    </cacheField>
    <cacheField name="FASE_ATUAL" numFmtId="0">
      <sharedItems count="3">
        <s v="TIN-TINGIMENTO"/>
        <s v="RMC-REVISÃO MALHA CRUA"/>
        <s v="IVF-INVERSÃO P/FELPAGEM"/>
      </sharedItems>
    </cacheField>
    <cacheField name="STATUS_FASE" numFmtId="0">
      <sharedItems count="4">
        <s v="EM EXECUÇÃO"/>
        <s v="PESADA"/>
        <s v="EMITIDA"/>
        <s v="PROGRAMADA"/>
      </sharedItems>
    </cacheField>
    <cacheField name="USUARIO" numFmtId="0">
      <sharedItems containsBlank="1" count="3">
        <s v="MARCELO HENRIQUE P. DA SILVA"/>
        <s v="LUIZ ANDREI DE LIMA"/>
        <m/>
      </sharedItems>
    </cacheField>
    <cacheField name="HORARIO_PESADO" numFmtId="0">
      <sharedItems containsNonDate="0" containsDate="1" containsString="0" containsBlank="1" minDate="2026-04-22T23:00:25" maxDate="2026-04-23T12:34:06" count="22">
        <d v="2026-04-23T01:56:40"/>
        <d v="2026-04-23T02:37:39"/>
        <d v="2026-04-23T06:55:42"/>
        <d v="2026-04-22T23:45:02"/>
        <d v="2026-04-22T23:00:25"/>
        <d v="2026-04-23T08:01:58"/>
        <d v="2026-04-23T00:17:00"/>
        <d v="2026-04-23T02:12:07"/>
        <d v="2026-04-23T07:49:49"/>
        <d v="2026-04-23T08:31:57"/>
        <d v="2026-04-23T02:24:45"/>
        <d v="2026-04-23T09:33:59"/>
        <d v="2026-04-23T08:40:35"/>
        <d v="2026-04-23T12:28:54"/>
        <m/>
        <d v="2026-04-23T09:19:08"/>
        <d v="2026-04-23T09:38:50"/>
        <d v="2026-04-23T09:27:57"/>
        <d v="2026-04-23T12:34:06"/>
        <d v="2026-04-23T08:59:32"/>
        <d v="2026-04-23T12:12:06"/>
        <d v="2026-04-23T09:08:48"/>
      </sharedItems>
    </cacheField>
    <cacheField name="DIAS_PESADO" numFmtId="0">
      <sharedItems containsString="0" containsBlank="1" containsNumber="1" minValue="0.02" maxValue="0.57999999999999996" count="18">
        <n v="0.46"/>
        <n v="0.43"/>
        <n v="0.25"/>
        <n v="0.55000000000000004"/>
        <n v="0.57999999999999996"/>
        <n v="0.21"/>
        <n v="0.53"/>
        <n v="0.45"/>
        <n v="0.19"/>
        <n v="0.44"/>
        <n v="0.14000000000000001"/>
        <n v="0.18"/>
        <n v="0.02"/>
        <m/>
        <n v="0.15"/>
        <n v="0.17"/>
        <n v="0.03"/>
        <n v="0.16"/>
      </sharedItems>
    </cacheField>
    <cacheField name="QUANT_PESADA" numFmtId="0">
      <sharedItems containsSemiMixedTypes="0" containsString="0" containsNumber="1" minValue="0" maxValue="181.36699999999999" count="22">
        <n v="36.161999999999999"/>
        <n v="37.542999999999999"/>
        <n v="36.29"/>
        <n v="0.92269999999999996"/>
        <n v="7.3140000000000001"/>
        <n v="4.5351800000000004"/>
        <n v="0.69306000000000001"/>
        <n v="30.954999999999998"/>
        <n v="12.34976"/>
        <n v="87.522999999999996"/>
        <n v="13.17"/>
        <n v="2.5179999999999998"/>
        <n v="0.46522000000000002"/>
        <n v="27.83"/>
        <n v="0"/>
        <n v="0.92771000000000003"/>
        <n v="7.9630000000000001"/>
        <n v="2.8759999999999999"/>
        <n v="181.36699999999999"/>
        <n v="34.326999999999998"/>
        <n v="36.295000000000002"/>
        <n v="7.825E-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x v="0"/>
    <x v="0"/>
    <x v="0"/>
    <x v="0"/>
    <d v="2026-04-23T07:24:00"/>
    <d v="2026-04-23T17:46:00"/>
    <x v="0"/>
    <n v="15519"/>
    <s v="VISCOLYCRA VORTEX VERDE BANDEIRA"/>
    <x v="0"/>
    <x v="0"/>
    <x v="0"/>
    <x v="0"/>
    <x v="0"/>
    <x v="0"/>
  </r>
  <r>
    <x v="1"/>
    <x v="1"/>
    <x v="0"/>
    <x v="1"/>
    <d v="2026-04-23T07:50:00"/>
    <d v="2026-04-23T13:43:00"/>
    <x v="1"/>
    <n v="10091"/>
    <s v="M/M 30/1 PV RAMADO PRETO"/>
    <x v="0"/>
    <x v="0"/>
    <x v="0"/>
    <x v="1"/>
    <x v="1"/>
    <x v="1"/>
  </r>
  <r>
    <x v="1"/>
    <x v="2"/>
    <x v="0"/>
    <x v="1"/>
    <d v="2026-04-23T07:50:00"/>
    <d v="2026-04-23T13:43:00"/>
    <x v="1"/>
    <n v="10091"/>
    <s v="M/M 30/1 PV RAMADO PRETO"/>
    <x v="0"/>
    <x v="0"/>
    <x v="0"/>
    <x v="1"/>
    <x v="1"/>
    <x v="1"/>
  </r>
  <r>
    <x v="0"/>
    <x v="3"/>
    <x v="0"/>
    <x v="2"/>
    <d v="2026-04-23T07:57:00"/>
    <d v="2026-04-23T14:08:00"/>
    <x v="2"/>
    <n v="3950"/>
    <s v="M/M 30/1 CARDADA OE CHUMBO"/>
    <x v="0"/>
    <x v="0"/>
    <x v="1"/>
    <x v="2"/>
    <x v="2"/>
    <x v="2"/>
  </r>
  <r>
    <x v="0"/>
    <x v="4"/>
    <x v="0"/>
    <x v="3"/>
    <d v="2026-04-23T09:01:00"/>
    <d v="2026-04-23T13:07:00"/>
    <x v="3"/>
    <n v="1264"/>
    <s v="M/M 30/1 PENTEADO VERDE BEBÊ"/>
    <x v="0"/>
    <x v="0"/>
    <x v="0"/>
    <x v="3"/>
    <x v="3"/>
    <x v="3"/>
  </r>
  <r>
    <x v="0"/>
    <x v="5"/>
    <x v="0"/>
    <x v="4"/>
    <d v="2026-04-23T09:03:00"/>
    <d v="2026-04-23T12:57:00"/>
    <x v="4"/>
    <n v="1651"/>
    <s v="M/M 24/1 18 TRAMAS BRANCO"/>
    <x v="0"/>
    <x v="0"/>
    <x v="0"/>
    <x v="4"/>
    <x v="4"/>
    <x v="4"/>
  </r>
  <r>
    <x v="0"/>
    <x v="6"/>
    <x v="0"/>
    <x v="5"/>
    <d v="2026-04-23T10:57:00"/>
    <d v="2026-04-23T15:02:00"/>
    <x v="5"/>
    <n v="860"/>
    <s v="HELANQUINHA DRY FIT ROSA BEBÊ"/>
    <x v="0"/>
    <x v="0"/>
    <x v="1"/>
    <x v="5"/>
    <x v="5"/>
    <x v="5"/>
  </r>
  <r>
    <x v="2"/>
    <x v="7"/>
    <x v="0"/>
    <x v="6"/>
    <d v="2026-04-23T11:15:00"/>
    <d v="2026-04-23T14:45:00"/>
    <x v="4"/>
    <n v="404"/>
    <s v="M/M 24/1 18 TRAMAS SALMAO BEBÊ"/>
    <x v="0"/>
    <x v="0"/>
    <x v="0"/>
    <x v="6"/>
    <x v="6"/>
    <x v="6"/>
  </r>
  <r>
    <x v="2"/>
    <x v="8"/>
    <x v="0"/>
    <x v="6"/>
    <d v="2026-04-23T11:15:00"/>
    <d v="2026-04-23T14:45:00"/>
    <x v="4"/>
    <n v="404"/>
    <s v="M/M 24/1 18 TRAMAS SALMAO BEBÊ"/>
    <x v="0"/>
    <x v="0"/>
    <x v="0"/>
    <x v="6"/>
    <x v="6"/>
    <x v="6"/>
  </r>
  <r>
    <x v="0"/>
    <x v="9"/>
    <x v="0"/>
    <x v="7"/>
    <d v="2026-04-23T11:23:00"/>
    <d v="2026-04-23T18:10:00"/>
    <x v="6"/>
    <n v="2509"/>
    <s v="HELANCA SUEDINE 100%CO VERMELHO"/>
    <x v="0"/>
    <x v="0"/>
    <x v="0"/>
    <x v="7"/>
    <x v="7"/>
    <x v="7"/>
  </r>
  <r>
    <x v="0"/>
    <x v="10"/>
    <x v="0"/>
    <x v="8"/>
    <d v="2026-04-23T11:26:00"/>
    <d v="2026-04-23T16:00:00"/>
    <x v="7"/>
    <n v="1585"/>
    <s v="SUPLEX ESPECIAL BORDÔ"/>
    <x v="0"/>
    <x v="0"/>
    <x v="1"/>
    <x v="8"/>
    <x v="5"/>
    <x v="8"/>
  </r>
  <r>
    <x v="3"/>
    <x v="11"/>
    <x v="0"/>
    <x v="9"/>
    <d v="2026-04-23T11:35:00"/>
    <d v="2026-04-23T16:31:00"/>
    <x v="7"/>
    <n v="952"/>
    <s v="SUPLEX ESPECIAL PRETO"/>
    <x v="0"/>
    <x v="0"/>
    <x v="1"/>
    <x v="9"/>
    <x v="8"/>
    <x v="9"/>
  </r>
  <r>
    <x v="3"/>
    <x v="12"/>
    <x v="0"/>
    <x v="9"/>
    <d v="2026-04-23T11:35:00"/>
    <d v="2026-04-23T16:31:00"/>
    <x v="7"/>
    <n v="952"/>
    <s v="SUPLEX ESPECIAL PRETO"/>
    <x v="0"/>
    <x v="0"/>
    <x v="1"/>
    <x v="9"/>
    <x v="8"/>
    <x v="9"/>
  </r>
  <r>
    <x v="3"/>
    <x v="13"/>
    <x v="0"/>
    <x v="9"/>
    <d v="2026-04-23T11:35:00"/>
    <d v="2026-04-23T16:31:00"/>
    <x v="7"/>
    <n v="952"/>
    <s v="SUPLEX ESPECIAL PRETO"/>
    <x v="0"/>
    <x v="0"/>
    <x v="1"/>
    <x v="9"/>
    <x v="8"/>
    <x v="9"/>
  </r>
  <r>
    <x v="0"/>
    <x v="14"/>
    <x v="0"/>
    <x v="10"/>
    <d v="2026-04-23T12:03:00"/>
    <d v="2026-04-23T17:34:00"/>
    <x v="4"/>
    <n v="1399"/>
    <s v="M/M 24/1 18 TRAMAS PETRÓLEO"/>
    <x v="0"/>
    <x v="0"/>
    <x v="0"/>
    <x v="10"/>
    <x v="9"/>
    <x v="10"/>
  </r>
  <r>
    <x v="0"/>
    <x v="15"/>
    <x v="0"/>
    <x v="4"/>
    <d v="2026-04-23T12:58:00"/>
    <d v="2026-04-23T15:16:00"/>
    <x v="5"/>
    <n v="1654"/>
    <s v="HELANQUINHA DRY FIT BRANCO"/>
    <x v="0"/>
    <x v="1"/>
    <x v="1"/>
    <x v="11"/>
    <x v="10"/>
    <x v="11"/>
  </r>
  <r>
    <x v="0"/>
    <x v="16"/>
    <x v="0"/>
    <x v="3"/>
    <d v="2026-04-23T13:08:00"/>
    <d v="2026-04-23T16:03:00"/>
    <x v="4"/>
    <n v="459"/>
    <s v="M/M 24/1 18 TRAMAS AZUL BEBÊ"/>
    <x v="0"/>
    <x v="1"/>
    <x v="1"/>
    <x v="12"/>
    <x v="11"/>
    <x v="12"/>
  </r>
  <r>
    <x v="4"/>
    <x v="17"/>
    <x v="0"/>
    <x v="1"/>
    <d v="2026-04-23T13:44:00"/>
    <d v="2026-04-23T17:41:00"/>
    <x v="2"/>
    <n v="10092"/>
    <s v="M/M 30/1 CARDADA OE PRETO"/>
    <x v="0"/>
    <x v="1"/>
    <x v="1"/>
    <x v="13"/>
    <x v="12"/>
    <x v="13"/>
  </r>
  <r>
    <x v="4"/>
    <x v="18"/>
    <x v="0"/>
    <x v="1"/>
    <d v="2026-04-23T13:44:00"/>
    <d v="2026-04-23T17:41:00"/>
    <x v="3"/>
    <n v="10090"/>
    <s v="M/M 30/1 PENTEADO PRETO"/>
    <x v="0"/>
    <x v="1"/>
    <x v="1"/>
    <x v="13"/>
    <x v="12"/>
    <x v="13"/>
  </r>
  <r>
    <x v="4"/>
    <x v="19"/>
    <x v="0"/>
    <x v="1"/>
    <d v="2026-04-23T13:44:00"/>
    <d v="2026-04-23T17:41:00"/>
    <x v="4"/>
    <n v="13411"/>
    <s v="M/M 24/1 18 TRAMAS PRETO"/>
    <x v="0"/>
    <x v="1"/>
    <x v="1"/>
    <x v="13"/>
    <x v="12"/>
    <x v="13"/>
  </r>
  <r>
    <x v="4"/>
    <x v="20"/>
    <x v="0"/>
    <x v="1"/>
    <d v="2026-04-23T13:44:00"/>
    <d v="2026-04-23T17:41:00"/>
    <x v="8"/>
    <n v="14002"/>
    <s v="M/M 24/1 14 TRAMAS PRETO"/>
    <x v="0"/>
    <x v="1"/>
    <x v="1"/>
    <x v="13"/>
    <x v="12"/>
    <x v="13"/>
  </r>
  <r>
    <x v="0"/>
    <x v="21"/>
    <x v="1"/>
    <x v="2"/>
    <d v="2026-04-23T14:09:00"/>
    <d v="2026-04-23T21:55:00"/>
    <x v="9"/>
    <n v="1354"/>
    <s v="M/M 30/1 PV CHUMBO"/>
    <x v="0"/>
    <x v="2"/>
    <x v="2"/>
    <x v="14"/>
    <x v="13"/>
    <x v="14"/>
  </r>
  <r>
    <x v="5"/>
    <x v="22"/>
    <x v="0"/>
    <x v="6"/>
    <d v="2026-04-23T14:46:00"/>
    <d v="2026-04-23T18:30:00"/>
    <x v="4"/>
    <n v="459"/>
    <s v="M/M 24/1 18 TRAMAS AZUL BEBÊ"/>
    <x v="0"/>
    <x v="1"/>
    <x v="1"/>
    <x v="15"/>
    <x v="14"/>
    <x v="15"/>
  </r>
  <r>
    <x v="5"/>
    <x v="23"/>
    <x v="0"/>
    <x v="6"/>
    <d v="2026-04-23T14:46:00"/>
    <d v="2026-04-23T18:30:00"/>
    <x v="4"/>
    <n v="459"/>
    <s v="M/M 24/1 18 TRAMAS AZUL BEBÊ"/>
    <x v="0"/>
    <x v="1"/>
    <x v="1"/>
    <x v="15"/>
    <x v="14"/>
    <x v="15"/>
  </r>
  <r>
    <x v="0"/>
    <x v="24"/>
    <x v="1"/>
    <x v="5"/>
    <d v="2026-04-23T15:03:00"/>
    <d v="2026-04-23T18:46:00"/>
    <x v="7"/>
    <n v="3784"/>
    <s v="SUPLEX ESPECIAL CAQUI"/>
    <x v="1"/>
    <x v="3"/>
    <x v="2"/>
    <x v="14"/>
    <x v="13"/>
    <x v="14"/>
  </r>
  <r>
    <x v="6"/>
    <x v="25"/>
    <x v="0"/>
    <x v="4"/>
    <d v="2026-04-23T15:17:00"/>
    <d v="2026-04-23T18:51:00"/>
    <x v="2"/>
    <n v="206"/>
    <s v="M/M 30/1 CARDADA OE BRANCO"/>
    <x v="0"/>
    <x v="1"/>
    <x v="1"/>
    <x v="16"/>
    <x v="10"/>
    <x v="16"/>
  </r>
  <r>
    <x v="6"/>
    <x v="26"/>
    <x v="0"/>
    <x v="4"/>
    <d v="2026-04-23T15:17:00"/>
    <d v="2026-04-23T18:51:00"/>
    <x v="10"/>
    <n v="9786"/>
    <s v="RIBANA 30/1 OE BRANCO"/>
    <x v="0"/>
    <x v="1"/>
    <x v="1"/>
    <x v="16"/>
    <x v="10"/>
    <x v="16"/>
  </r>
  <r>
    <x v="0"/>
    <x v="27"/>
    <x v="1"/>
    <x v="8"/>
    <d v="2026-04-23T16:01:00"/>
    <d v="2026-04-23T19:14:00"/>
    <x v="11"/>
    <n v="3991"/>
    <s v="POLIESTER FIADO MARROM"/>
    <x v="0"/>
    <x v="2"/>
    <x v="2"/>
    <x v="14"/>
    <x v="13"/>
    <x v="14"/>
  </r>
  <r>
    <x v="0"/>
    <x v="28"/>
    <x v="0"/>
    <x v="3"/>
    <d v="2026-04-23T16:04:00"/>
    <d v="2026-04-23T20:00:00"/>
    <x v="4"/>
    <n v="22676"/>
    <s v="M/M 24/1 18 TRAMAS PISTACHE"/>
    <x v="0"/>
    <x v="1"/>
    <x v="1"/>
    <x v="17"/>
    <x v="14"/>
    <x v="17"/>
  </r>
  <r>
    <x v="7"/>
    <x v="29"/>
    <x v="0"/>
    <x v="9"/>
    <d v="2026-04-23T16:32:00"/>
    <d v="2026-04-23T20:39:00"/>
    <x v="2"/>
    <n v="1807"/>
    <s v="M/M 30/1 CARDADA OE PRETO"/>
    <x v="0"/>
    <x v="1"/>
    <x v="1"/>
    <x v="18"/>
    <x v="12"/>
    <x v="18"/>
  </r>
  <r>
    <x v="7"/>
    <x v="30"/>
    <x v="0"/>
    <x v="9"/>
    <d v="2026-04-23T16:32:00"/>
    <d v="2026-04-23T20:39:00"/>
    <x v="2"/>
    <n v="1807"/>
    <s v="M/M 30/1 CARDADA OE PRETO"/>
    <x v="0"/>
    <x v="1"/>
    <x v="1"/>
    <x v="18"/>
    <x v="12"/>
    <x v="18"/>
  </r>
  <r>
    <x v="0"/>
    <x v="31"/>
    <x v="1"/>
    <x v="10"/>
    <d v="2026-04-23T17:35:00"/>
    <d v="2026-04-24T02:43:00"/>
    <x v="9"/>
    <n v="1444"/>
    <s v="M/M 30/1 PV ROYAL"/>
    <x v="0"/>
    <x v="2"/>
    <x v="2"/>
    <x v="14"/>
    <x v="13"/>
    <x v="14"/>
  </r>
  <r>
    <x v="0"/>
    <x v="32"/>
    <x v="1"/>
    <x v="1"/>
    <d v="2026-04-23T17:42:00"/>
    <d v="2026-04-23T23:25:00"/>
    <x v="12"/>
    <n v="16658"/>
    <s v="MOLETOM PA TUBULAR PRETO"/>
    <x v="0"/>
    <x v="2"/>
    <x v="2"/>
    <x v="14"/>
    <x v="13"/>
    <x v="14"/>
  </r>
  <r>
    <x v="0"/>
    <x v="33"/>
    <x v="0"/>
    <x v="0"/>
    <d v="2026-04-23T17:47:00"/>
    <d v="2026-04-24T00:37:00"/>
    <x v="0"/>
    <n v="15290"/>
    <s v="VISCOLYCRA VORTEX VERDE ESPECIAL"/>
    <x v="0"/>
    <x v="1"/>
    <x v="1"/>
    <x v="19"/>
    <x v="15"/>
    <x v="19"/>
  </r>
  <r>
    <x v="0"/>
    <x v="34"/>
    <x v="0"/>
    <x v="7"/>
    <d v="2026-04-23T18:11:00"/>
    <d v="2026-04-24T00:48:00"/>
    <x v="4"/>
    <n v="1429"/>
    <s v="M/M 24/1 18 TRAMAS VERMELHO"/>
    <x v="0"/>
    <x v="1"/>
    <x v="1"/>
    <x v="20"/>
    <x v="16"/>
    <x v="20"/>
  </r>
  <r>
    <x v="8"/>
    <x v="35"/>
    <x v="1"/>
    <x v="6"/>
    <d v="2026-04-23T18:31:00"/>
    <d v="2026-04-23T22:50:00"/>
    <x v="3"/>
    <n v="308"/>
    <s v="M/M 30/1 PENTEADO CAQUI"/>
    <x v="0"/>
    <x v="2"/>
    <x v="2"/>
    <x v="14"/>
    <x v="13"/>
    <x v="14"/>
  </r>
  <r>
    <x v="8"/>
    <x v="36"/>
    <x v="1"/>
    <x v="6"/>
    <d v="2026-04-23T18:31:00"/>
    <d v="2026-04-23T22:50:00"/>
    <x v="3"/>
    <n v="308"/>
    <s v="M/M 30/1 PENTEADO CAQUI"/>
    <x v="0"/>
    <x v="2"/>
    <x v="2"/>
    <x v="14"/>
    <x v="13"/>
    <x v="14"/>
  </r>
  <r>
    <x v="0"/>
    <x v="37"/>
    <x v="1"/>
    <x v="5"/>
    <d v="2026-04-23T18:47:00"/>
    <d v="2026-04-23T23:17:00"/>
    <x v="12"/>
    <n v="16982"/>
    <s v="MOLETOM PA TUBULAR ROSA BEBÊ"/>
    <x v="2"/>
    <x v="3"/>
    <x v="2"/>
    <x v="14"/>
    <x v="13"/>
    <x v="14"/>
  </r>
  <r>
    <x v="0"/>
    <x v="38"/>
    <x v="1"/>
    <x v="4"/>
    <d v="2026-04-23T18:52:00"/>
    <d v="2026-04-23T23:02:00"/>
    <x v="4"/>
    <n v="1261"/>
    <s v="M/M 24/1 18 TRAMAS VERDE BEBÊ"/>
    <x v="0"/>
    <x v="2"/>
    <x v="2"/>
    <x v="14"/>
    <x v="13"/>
    <x v="14"/>
  </r>
  <r>
    <x v="0"/>
    <x v="39"/>
    <x v="1"/>
    <x v="8"/>
    <d v="2026-04-23T19:15:00"/>
    <d v="2026-04-23T22:58:00"/>
    <x v="7"/>
    <n v="1155"/>
    <s v="SUPLEX ESPECIAL VINHO"/>
    <x v="0"/>
    <x v="2"/>
    <x v="2"/>
    <x v="14"/>
    <x v="13"/>
    <x v="14"/>
  </r>
  <r>
    <x v="0"/>
    <x v="40"/>
    <x v="1"/>
    <x v="3"/>
    <d v="2026-04-23T20:01:00"/>
    <d v="2026-04-24T03:08:00"/>
    <x v="4"/>
    <n v="1291"/>
    <s v="M/M 24/1 18 TRAMAS LILÁS MÉDIO"/>
    <x v="0"/>
    <x v="2"/>
    <x v="2"/>
    <x v="14"/>
    <x v="13"/>
    <x v="14"/>
  </r>
  <r>
    <x v="9"/>
    <x v="41"/>
    <x v="1"/>
    <x v="9"/>
    <d v="2026-04-23T20:40:00"/>
    <d v="2026-04-24T02:51:00"/>
    <x v="2"/>
    <n v="3616"/>
    <s v="M/M 30/1 CARDADA OE MARINHO"/>
    <x v="0"/>
    <x v="2"/>
    <x v="2"/>
    <x v="14"/>
    <x v="13"/>
    <x v="14"/>
  </r>
  <r>
    <x v="9"/>
    <x v="42"/>
    <x v="1"/>
    <x v="9"/>
    <d v="2026-04-23T20:40:00"/>
    <d v="2026-04-24T02:51:00"/>
    <x v="2"/>
    <n v="3616"/>
    <s v="M/M 30/1 CARDADA OE MARINHO"/>
    <x v="0"/>
    <x v="2"/>
    <x v="2"/>
    <x v="14"/>
    <x v="13"/>
    <x v="14"/>
  </r>
  <r>
    <x v="0"/>
    <x v="43"/>
    <x v="1"/>
    <x v="2"/>
    <d v="2026-04-23T21:56:00"/>
    <d v="2026-04-24T02:31:00"/>
    <x v="13"/>
    <n v="22104"/>
    <s v="VISCOLYCRA VORTEX LIGHT PRETO"/>
    <x v="1"/>
    <x v="3"/>
    <x v="2"/>
    <x v="14"/>
    <x v="13"/>
    <x v="14"/>
  </r>
  <r>
    <x v="10"/>
    <x v="44"/>
    <x v="1"/>
    <x v="6"/>
    <d v="2026-04-23T22:51:00"/>
    <d v="2026-04-24T00:27:00"/>
    <x v="11"/>
    <n v="1825"/>
    <s v="POLIÉSTER FIADO BRANCO"/>
    <x v="0"/>
    <x v="2"/>
    <x v="2"/>
    <x v="14"/>
    <x v="13"/>
    <x v="14"/>
  </r>
  <r>
    <x v="10"/>
    <x v="45"/>
    <x v="1"/>
    <x v="6"/>
    <d v="2026-04-23T22:51:00"/>
    <d v="2026-04-24T00:27:00"/>
    <x v="11"/>
    <n v="1825"/>
    <s v="POLIÉSTER FIADO BRANCO"/>
    <x v="0"/>
    <x v="2"/>
    <x v="2"/>
    <x v="14"/>
    <x v="13"/>
    <x v="14"/>
  </r>
  <r>
    <x v="0"/>
    <x v="46"/>
    <x v="1"/>
    <x v="8"/>
    <d v="2026-04-23T22:59:00"/>
    <d v="2026-04-24T03:28:00"/>
    <x v="7"/>
    <n v="1095"/>
    <s v="SUPLEX ESPECIAL VERMELHO"/>
    <x v="1"/>
    <x v="3"/>
    <x v="2"/>
    <x v="14"/>
    <x v="13"/>
    <x v="14"/>
  </r>
  <r>
    <x v="0"/>
    <x v="47"/>
    <x v="0"/>
    <x v="5"/>
    <d v="2026-04-23T23:18:00"/>
    <d v="2026-04-24T02:18:00"/>
    <x v="6"/>
    <n v="2744"/>
    <s v="HELANCA SUEDINE 100%CO ROSA BEBÊ"/>
    <x v="1"/>
    <x v="0"/>
    <x v="1"/>
    <x v="21"/>
    <x v="17"/>
    <x v="21"/>
  </r>
  <r>
    <x v="11"/>
    <x v="48"/>
    <x v="1"/>
    <x v="1"/>
    <d v="2026-04-23T23:26:00"/>
    <d v="2026-04-24T03:06:00"/>
    <x v="11"/>
    <n v="2599"/>
    <s v="POLIÉSTER FIADO PRETO"/>
    <x v="1"/>
    <x v="3"/>
    <x v="2"/>
    <x v="14"/>
    <x v="13"/>
    <x v="14"/>
  </r>
  <r>
    <x v="11"/>
    <x v="49"/>
    <x v="1"/>
    <x v="1"/>
    <d v="2026-04-23T23:26:00"/>
    <d v="2026-04-24T03:06:00"/>
    <x v="11"/>
    <n v="2599"/>
    <s v="POLIÉSTER FIADO PRETO"/>
    <x v="1"/>
    <x v="3"/>
    <x v="2"/>
    <x v="14"/>
    <x v="13"/>
    <x v="14"/>
  </r>
  <r>
    <x v="12"/>
    <x v="50"/>
    <x v="1"/>
    <x v="6"/>
    <d v="2026-04-24T00:28:00"/>
    <d v="2026-04-24T02:04:00"/>
    <x v="11"/>
    <n v="1825"/>
    <s v="POLIÉSTER FIADO BRANCO"/>
    <x v="0"/>
    <x v="2"/>
    <x v="2"/>
    <x v="14"/>
    <x v="13"/>
    <x v="14"/>
  </r>
  <r>
    <x v="12"/>
    <x v="51"/>
    <x v="1"/>
    <x v="6"/>
    <d v="2026-04-24T00:28:00"/>
    <d v="2026-04-24T02:04:00"/>
    <x v="11"/>
    <n v="1825"/>
    <s v="POLIÉSTER FIADO BRANCO"/>
    <x v="0"/>
    <x v="2"/>
    <x v="2"/>
    <x v="14"/>
    <x v="13"/>
    <x v="14"/>
  </r>
  <r>
    <x v="0"/>
    <x v="52"/>
    <x v="1"/>
    <x v="0"/>
    <d v="2026-04-24T00:38:00"/>
    <d v="2026-04-24T08:10:00"/>
    <x v="4"/>
    <n v="1439"/>
    <s v="M/M 24/1 18 TRAMAS ROYAL"/>
    <x v="0"/>
    <x v="2"/>
    <x v="2"/>
    <x v="14"/>
    <x v="13"/>
    <x v="14"/>
  </r>
  <r>
    <x v="0"/>
    <x v="53"/>
    <x v="1"/>
    <x v="7"/>
    <d v="2026-04-24T00:49:00"/>
    <d v="2026-04-24T07:26:00"/>
    <x v="4"/>
    <n v="1429"/>
    <s v="M/M 24/1 18 TRAMAS VERMELHO"/>
    <x v="1"/>
    <x v="0"/>
    <x v="2"/>
    <x v="14"/>
    <x v="13"/>
    <x v="14"/>
  </r>
  <r>
    <x v="13"/>
    <x v="54"/>
    <x v="1"/>
    <x v="6"/>
    <d v="2026-04-24T02:05:00"/>
    <d v="2026-04-24T03:41:00"/>
    <x v="11"/>
    <n v="1825"/>
    <s v="POLIÉSTER FIADO BRANCO"/>
    <x v="0"/>
    <x v="2"/>
    <x v="2"/>
    <x v="14"/>
    <x v="13"/>
    <x v="14"/>
  </r>
  <r>
    <x v="13"/>
    <x v="55"/>
    <x v="1"/>
    <x v="6"/>
    <d v="2026-04-24T02:05:00"/>
    <d v="2026-04-24T03:41:00"/>
    <x v="11"/>
    <n v="1825"/>
    <s v="POLIÉSTER FIADO BRANCO"/>
    <x v="0"/>
    <x v="2"/>
    <x v="2"/>
    <x v="14"/>
    <x v="13"/>
    <x v="14"/>
  </r>
  <r>
    <x v="0"/>
    <x v="56"/>
    <x v="1"/>
    <x v="2"/>
    <d v="2026-04-24T02:32:00"/>
    <d v="2026-04-24T08:34:00"/>
    <x v="12"/>
    <n v="16657"/>
    <s v="MOLETOM PA TUBULAR MARINHO"/>
    <x v="2"/>
    <x v="3"/>
    <x v="2"/>
    <x v="14"/>
    <x v="13"/>
    <x v="14"/>
  </r>
  <r>
    <x v="14"/>
    <x v="57"/>
    <x v="1"/>
    <x v="9"/>
    <d v="2026-04-24T02:52:00"/>
    <d v="2026-04-24T07:28:00"/>
    <x v="7"/>
    <n v="967"/>
    <s v="SUPLEX ESPECIAL MARINHO"/>
    <x v="1"/>
    <x v="3"/>
    <x v="2"/>
    <x v="14"/>
    <x v="13"/>
    <x v="14"/>
  </r>
  <r>
    <x v="14"/>
    <x v="58"/>
    <x v="1"/>
    <x v="9"/>
    <d v="2026-04-24T02:52:00"/>
    <d v="2026-04-24T07:28:00"/>
    <x v="7"/>
    <n v="967"/>
    <s v="SUPLEX ESPECIAL MARINHO"/>
    <x v="1"/>
    <x v="3"/>
    <x v="2"/>
    <x v="14"/>
    <x v="13"/>
    <x v="14"/>
  </r>
  <r>
    <x v="15"/>
    <x v="59"/>
    <x v="1"/>
    <x v="1"/>
    <d v="2026-04-24T03:07:00"/>
    <d v="2026-04-24T06:47:00"/>
    <x v="14"/>
    <n v="951"/>
    <s v="HELANCA FLANELADA RAMADA PRETO"/>
    <x v="1"/>
    <x v="3"/>
    <x v="2"/>
    <x v="14"/>
    <x v="13"/>
    <x v="14"/>
  </r>
  <r>
    <x v="15"/>
    <x v="60"/>
    <x v="1"/>
    <x v="1"/>
    <d v="2026-04-24T03:07:00"/>
    <d v="2026-04-24T06:47:00"/>
    <x v="11"/>
    <n v="2599"/>
    <s v="POLIÉSTER FIADO PRETO"/>
    <x v="1"/>
    <x v="3"/>
    <x v="2"/>
    <x v="14"/>
    <x v="13"/>
    <x v="14"/>
  </r>
  <r>
    <x v="15"/>
    <x v="61"/>
    <x v="1"/>
    <x v="1"/>
    <d v="2026-04-24T03:07:00"/>
    <d v="2026-04-24T06:47:00"/>
    <x v="11"/>
    <n v="2599"/>
    <s v="POLIÉSTER FIADO PRETO"/>
    <x v="1"/>
    <x v="3"/>
    <x v="2"/>
    <x v="14"/>
    <x v="13"/>
    <x v="14"/>
  </r>
  <r>
    <x v="15"/>
    <x v="62"/>
    <x v="1"/>
    <x v="1"/>
    <d v="2026-04-24T03:07:00"/>
    <d v="2026-04-24T06:47:00"/>
    <x v="11"/>
    <n v="2599"/>
    <s v="POLIÉSTER FIADO PRETO"/>
    <x v="1"/>
    <x v="3"/>
    <x v="2"/>
    <x v="14"/>
    <x v="13"/>
    <x v="14"/>
  </r>
  <r>
    <x v="15"/>
    <x v="63"/>
    <x v="1"/>
    <x v="1"/>
    <d v="2026-04-24T03:07:00"/>
    <d v="2026-04-24T06:47:00"/>
    <x v="15"/>
    <n v="1839"/>
    <s v="HELANCA 100%PES PRETO"/>
    <x v="1"/>
    <x v="3"/>
    <x v="2"/>
    <x v="14"/>
    <x v="13"/>
    <x v="14"/>
  </r>
  <r>
    <x v="15"/>
    <x v="64"/>
    <x v="1"/>
    <x v="1"/>
    <d v="2026-04-24T03:07:00"/>
    <d v="2026-04-24T06:47:00"/>
    <x v="11"/>
    <n v="2599"/>
    <s v="POLIÉSTER FIADO PRETO"/>
    <x v="1"/>
    <x v="3"/>
    <x v="2"/>
    <x v="14"/>
    <x v="13"/>
    <x v="14"/>
  </r>
  <r>
    <x v="0"/>
    <x v="65"/>
    <x v="1"/>
    <x v="3"/>
    <d v="2026-04-24T03:09:00"/>
    <d v="2026-04-24T06:10:00"/>
    <x v="3"/>
    <n v="3481"/>
    <s v="M/M 30/1 PENTEADO AZUL CELESTE"/>
    <x v="0"/>
    <x v="2"/>
    <x v="2"/>
    <x v="14"/>
    <x v="13"/>
    <x v="14"/>
  </r>
  <r>
    <x v="0"/>
    <x v="66"/>
    <x v="1"/>
    <x v="8"/>
    <d v="2026-04-24T03:29:00"/>
    <d v="2026-04-24T07:59:00"/>
    <x v="5"/>
    <n v="5782"/>
    <s v="HELANQUINHA DRY FIT PINK"/>
    <x v="1"/>
    <x v="3"/>
    <x v="2"/>
    <x v="14"/>
    <x v="13"/>
    <x v="14"/>
  </r>
  <r>
    <x v="16"/>
    <x v="67"/>
    <x v="1"/>
    <x v="6"/>
    <d v="2026-04-24T03:42:00"/>
    <d v="2026-04-24T05:18:00"/>
    <x v="11"/>
    <n v="1825"/>
    <s v="POLIÉSTER FIADO BRANCO"/>
    <x v="0"/>
    <x v="2"/>
    <x v="2"/>
    <x v="14"/>
    <x v="13"/>
    <x v="14"/>
  </r>
  <r>
    <x v="16"/>
    <x v="68"/>
    <x v="1"/>
    <x v="6"/>
    <d v="2026-04-24T03:42:00"/>
    <d v="2026-04-24T05:18:00"/>
    <x v="11"/>
    <n v="1825"/>
    <s v="POLIÉSTER FIADO BRANCO"/>
    <x v="1"/>
    <x v="3"/>
    <x v="2"/>
    <x v="14"/>
    <x v="13"/>
    <x v="14"/>
  </r>
  <r>
    <x v="17"/>
    <x v="69"/>
    <x v="1"/>
    <x v="6"/>
    <d v="2026-04-24T05:19:00"/>
    <d v="2026-04-24T06:55:00"/>
    <x v="11"/>
    <n v="1825"/>
    <s v="POLIÉSTER FIADO BRANCO"/>
    <x v="0"/>
    <x v="2"/>
    <x v="2"/>
    <x v="14"/>
    <x v="13"/>
    <x v="14"/>
  </r>
  <r>
    <x v="17"/>
    <x v="70"/>
    <x v="1"/>
    <x v="6"/>
    <d v="2026-04-24T05:19:00"/>
    <d v="2026-04-24T06:55:00"/>
    <x v="11"/>
    <n v="1825"/>
    <s v="POLIÉSTER FIADO BRANCO"/>
    <x v="0"/>
    <x v="2"/>
    <x v="2"/>
    <x v="14"/>
    <x v="13"/>
    <x v="14"/>
  </r>
  <r>
    <x v="18"/>
    <x v="71"/>
    <x v="1"/>
    <x v="6"/>
    <d v="2026-04-24T06:56:00"/>
    <d v="2026-04-24T09:15:00"/>
    <x v="4"/>
    <n v="254"/>
    <s v="M/M 24/1 18 TRAMAS MARFIM"/>
    <x v="1"/>
    <x v="3"/>
    <x v="2"/>
    <x v="14"/>
    <x v="13"/>
    <x v="14"/>
  </r>
  <r>
    <x v="18"/>
    <x v="72"/>
    <x v="1"/>
    <x v="6"/>
    <d v="2026-04-24T06:56:00"/>
    <d v="2026-04-24T09:15:00"/>
    <x v="4"/>
    <n v="254"/>
    <s v="M/M 24/1 18 TRAMAS MARFIM"/>
    <x v="0"/>
    <x v="2"/>
    <x v="2"/>
    <x v="14"/>
    <x v="13"/>
    <x v="14"/>
  </r>
  <r>
    <x v="0"/>
    <x v="73"/>
    <x v="1"/>
    <x v="7"/>
    <d v="2026-04-24T07:27:00"/>
    <d v="2026-04-24T14:04:00"/>
    <x v="4"/>
    <n v="1429"/>
    <s v="M/M 24/1 18 TRAMAS VERMELHO"/>
    <x v="1"/>
    <x v="3"/>
    <x v="2"/>
    <x v="14"/>
    <x v="13"/>
    <x v="14"/>
  </r>
  <r>
    <x v="19"/>
    <x v="74"/>
    <x v="1"/>
    <x v="9"/>
    <d v="2026-04-24T07:29:00"/>
    <d v="2026-04-24T15:11:00"/>
    <x v="4"/>
    <n v="1439"/>
    <s v="M/M 24/1 18 TRAMAS ROYAL"/>
    <x v="1"/>
    <x v="3"/>
    <x v="2"/>
    <x v="14"/>
    <x v="13"/>
    <x v="14"/>
  </r>
  <r>
    <x v="19"/>
    <x v="75"/>
    <x v="1"/>
    <x v="9"/>
    <d v="2026-04-24T07:29:00"/>
    <d v="2026-04-24T15:11:00"/>
    <x v="4"/>
    <n v="1439"/>
    <s v="M/M 24/1 18 TRAMAS ROYAL"/>
    <x v="1"/>
    <x v="3"/>
    <x v="2"/>
    <x v="14"/>
    <x v="13"/>
    <x v="14"/>
  </r>
  <r>
    <x v="0"/>
    <x v="76"/>
    <x v="1"/>
    <x v="8"/>
    <d v="2026-04-24T08:00:00"/>
    <d v="2026-04-24T12:24:00"/>
    <x v="7"/>
    <n v="1196"/>
    <s v="SUPLEX ESPECIAL PINK"/>
    <x v="1"/>
    <x v="3"/>
    <x v="2"/>
    <x v="14"/>
    <x v="13"/>
    <x v="14"/>
  </r>
  <r>
    <x v="0"/>
    <x v="77"/>
    <x v="1"/>
    <x v="0"/>
    <d v="2026-04-24T08:11:00"/>
    <d v="2026-04-24T14:12:00"/>
    <x v="4"/>
    <n v="1389"/>
    <s v="M/M 24/1 18 TRAMAS VERDE MILITAR"/>
    <x v="1"/>
    <x v="3"/>
    <x v="2"/>
    <x v="14"/>
    <x v="13"/>
    <x v="14"/>
  </r>
  <r>
    <x v="20"/>
    <x v="78"/>
    <x v="1"/>
    <x v="6"/>
    <d v="2026-04-24T09:16:00"/>
    <d v="2026-04-24T10:52:00"/>
    <x v="11"/>
    <n v="1825"/>
    <s v="POLIÉSTER FIADO BRANCO"/>
    <x v="1"/>
    <x v="3"/>
    <x v="2"/>
    <x v="14"/>
    <x v="13"/>
    <x v="14"/>
  </r>
  <r>
    <x v="20"/>
    <x v="79"/>
    <x v="1"/>
    <x v="6"/>
    <d v="2026-04-24T09:16:00"/>
    <d v="2026-04-24T10:52:00"/>
    <x v="11"/>
    <n v="1825"/>
    <s v="POLIÉSTER FIADO BRANCO"/>
    <x v="1"/>
    <x v="3"/>
    <x v="2"/>
    <x v="14"/>
    <x v="13"/>
    <x v="14"/>
  </r>
  <r>
    <x v="0"/>
    <x v="80"/>
    <x v="1"/>
    <x v="4"/>
    <d v="2026-04-24T09:53:00"/>
    <d v="2026-04-24T16:52:00"/>
    <x v="4"/>
    <n v="1429"/>
    <s v="M/M 24/1 18 TRAMAS VERMELHO"/>
    <x v="1"/>
    <x v="3"/>
    <x v="2"/>
    <x v="14"/>
    <x v="13"/>
    <x v="14"/>
  </r>
  <r>
    <x v="21"/>
    <x v="81"/>
    <x v="1"/>
    <x v="6"/>
    <d v="2026-04-24T10:53:00"/>
    <d v="2026-04-24T12:29:00"/>
    <x v="11"/>
    <n v="1825"/>
    <s v="POLIÉSTER FIADO BRANCO"/>
    <x v="1"/>
    <x v="3"/>
    <x v="2"/>
    <x v="14"/>
    <x v="13"/>
    <x v="14"/>
  </r>
  <r>
    <x v="21"/>
    <x v="82"/>
    <x v="1"/>
    <x v="6"/>
    <d v="2026-04-24T10:53:00"/>
    <d v="2026-04-24T12:29:00"/>
    <x v="11"/>
    <n v="1825"/>
    <s v="POLIÉSTER FIADO BRANCO"/>
    <x v="1"/>
    <x v="3"/>
    <x v="2"/>
    <x v="14"/>
    <x v="13"/>
    <x v="14"/>
  </r>
  <r>
    <x v="0"/>
    <x v="83"/>
    <x v="1"/>
    <x v="8"/>
    <d v="2026-04-24T12:25:00"/>
    <d v="2026-04-24T15:44:00"/>
    <x v="11"/>
    <n v="3992"/>
    <s v="POLIESTER FIADO PINK"/>
    <x v="1"/>
    <x v="3"/>
    <x v="2"/>
    <x v="14"/>
    <x v="13"/>
    <x v="14"/>
  </r>
  <r>
    <x v="0"/>
    <x v="84"/>
    <x v="1"/>
    <x v="1"/>
    <d v="2026-04-24T12:41:00"/>
    <d v="2026-04-24T16:36:00"/>
    <x v="15"/>
    <n v="1840"/>
    <s v="HELANCA 100%PES MARINHO"/>
    <x v="1"/>
    <x v="3"/>
    <x v="2"/>
    <x v="14"/>
    <x v="13"/>
    <x v="14"/>
  </r>
  <r>
    <x v="0"/>
    <x v="85"/>
    <x v="1"/>
    <x v="7"/>
    <d v="2026-04-24T14:05:00"/>
    <d v="2026-04-24T20:42:00"/>
    <x v="4"/>
    <n v="1429"/>
    <s v="M/M 24/1 18 TRAMAS VERMELHO"/>
    <x v="1"/>
    <x v="3"/>
    <x v="2"/>
    <x v="14"/>
    <x v="13"/>
    <x v="14"/>
  </r>
  <r>
    <x v="22"/>
    <x v="86"/>
    <x v="1"/>
    <x v="9"/>
    <d v="2026-04-24T15:12:00"/>
    <d v="2026-04-24T21:23:00"/>
    <x v="4"/>
    <n v="1389"/>
    <s v="M/M 24/1 18 TRAMAS VERDE MILITAR"/>
    <x v="1"/>
    <x v="3"/>
    <x v="2"/>
    <x v="14"/>
    <x v="13"/>
    <x v="14"/>
  </r>
  <r>
    <x v="22"/>
    <x v="87"/>
    <x v="1"/>
    <x v="9"/>
    <d v="2026-04-24T15:12:00"/>
    <d v="2026-04-24T21:23:00"/>
    <x v="4"/>
    <n v="1389"/>
    <s v="M/M 24/1 18 TRAMAS VERDE MILITAR"/>
    <x v="1"/>
    <x v="3"/>
    <x v="2"/>
    <x v="14"/>
    <x v="13"/>
    <x v="14"/>
  </r>
  <r>
    <x v="0"/>
    <x v="88"/>
    <x v="1"/>
    <x v="4"/>
    <d v="2026-04-24T16:53:00"/>
    <d v="2026-04-24T20:47:00"/>
    <x v="11"/>
    <n v="3372"/>
    <s v="POLIESTER FIADO LARANJA"/>
    <x v="1"/>
    <x v="3"/>
    <x v="2"/>
    <x v="14"/>
    <x v="13"/>
    <x v="14"/>
  </r>
  <r>
    <x v="0"/>
    <x v="89"/>
    <x v="1"/>
    <x v="7"/>
    <d v="2026-04-24T20:43:00"/>
    <d v="2026-04-25T03:20:00"/>
    <x v="4"/>
    <n v="1429"/>
    <s v="M/M 24/1 18 TRAMAS VERMELHO"/>
    <x v="1"/>
    <x v="3"/>
    <x v="2"/>
    <x v="14"/>
    <x v="13"/>
    <x v="14"/>
  </r>
  <r>
    <x v="0"/>
    <x v="90"/>
    <x v="1"/>
    <x v="8"/>
    <d v="2026-04-24T22:54:00"/>
    <d v="2026-04-25T02:13:00"/>
    <x v="11"/>
    <n v="3992"/>
    <s v="POLIESTER FIADO PINK"/>
    <x v="1"/>
    <x v="3"/>
    <x v="2"/>
    <x v="14"/>
    <x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99" firstHeaderRow="1" firstDataRow="1" firstDataCol="1" rowPageCount="1" colPageCount="1"/>
  <pivotFields count="15">
    <pivotField axis="axisRow" showAll="0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showAll="0" sortType="ascending" defaultSubtotal="0">
      <items count="91">
        <item x="0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  <item x="35"/>
        <item x="36"/>
        <item x="37"/>
        <item x="38"/>
        <item x="31"/>
        <item x="39"/>
        <item x="40"/>
        <item x="42"/>
        <item x="41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0"/>
        <item x="3"/>
        <item x="2"/>
        <item x="8"/>
        <item x="10"/>
        <item x="1"/>
        <item x="7"/>
        <item x="5"/>
        <item x="6"/>
        <item x="4"/>
        <item x="9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96">
    <i>
      <x/>
    </i>
    <i r="1">
      <x/>
    </i>
    <i r="2">
      <x v="52"/>
    </i>
    <i r="2">
      <x v="77"/>
    </i>
    <i>
      <x v="1"/>
    </i>
    <i r="1">
      <x/>
    </i>
    <i r="2">
      <x v="40"/>
    </i>
    <i r="2">
      <x v="65"/>
    </i>
    <i>
      <x v="2"/>
    </i>
    <i r="1">
      <x/>
    </i>
    <i r="2">
      <x v="21"/>
    </i>
    <i r="2">
      <x v="43"/>
    </i>
    <i r="2">
      <x v="56"/>
    </i>
    <i>
      <x v="3"/>
    </i>
    <i r="1">
      <x/>
    </i>
    <i r="2">
      <x v="27"/>
    </i>
    <i r="2">
      <x v="39"/>
    </i>
    <i r="2">
      <x v="46"/>
    </i>
    <i r="2">
      <x v="66"/>
    </i>
    <i r="2">
      <x v="76"/>
    </i>
    <i r="2">
      <x v="83"/>
    </i>
    <i r="2">
      <x v="90"/>
    </i>
    <i>
      <x v="4"/>
    </i>
    <i r="1">
      <x/>
    </i>
    <i r="2">
      <x v="38"/>
    </i>
    <i>
      <x v="5"/>
    </i>
    <i r="1">
      <x/>
    </i>
    <i r="2">
      <x v="31"/>
    </i>
    <i r="2">
      <x v="84"/>
    </i>
    <i r="1">
      <x v="11"/>
    </i>
    <i r="2">
      <x v="48"/>
    </i>
    <i r="2">
      <x v="49"/>
    </i>
    <i r="1">
      <x v="15"/>
    </i>
    <i r="2">
      <x v="61"/>
    </i>
    <i r="2">
      <x v="62"/>
    </i>
    <i r="2">
      <x v="60"/>
    </i>
    <i r="2">
      <x v="63"/>
    </i>
    <i r="2">
      <x v="59"/>
    </i>
    <i r="2">
      <x v="64"/>
    </i>
    <i>
      <x v="6"/>
    </i>
    <i r="1">
      <x/>
    </i>
    <i r="2">
      <x v="53"/>
    </i>
    <i r="2">
      <x v="73"/>
    </i>
    <i r="2">
      <x v="85"/>
    </i>
    <i r="2">
      <x v="89"/>
    </i>
    <i>
      <x v="7"/>
    </i>
    <i r="1">
      <x/>
    </i>
    <i r="2">
      <x v="24"/>
    </i>
    <i r="2">
      <x v="36"/>
    </i>
    <i>
      <x v="8"/>
    </i>
    <i r="1">
      <x v="8"/>
    </i>
    <i r="2">
      <x v="34"/>
    </i>
    <i r="2">
      <x v="35"/>
    </i>
    <i r="1">
      <x v="10"/>
    </i>
    <i r="2">
      <x v="44"/>
    </i>
    <i r="2">
      <x v="45"/>
    </i>
    <i r="1">
      <x v="12"/>
    </i>
    <i r="2">
      <x v="50"/>
    </i>
    <i r="2">
      <x v="51"/>
    </i>
    <i r="1">
      <x v="13"/>
    </i>
    <i r="2">
      <x v="54"/>
    </i>
    <i r="2">
      <x v="55"/>
    </i>
    <i r="1">
      <x v="16"/>
    </i>
    <i r="2">
      <x v="67"/>
    </i>
    <i r="2">
      <x v="68"/>
    </i>
    <i r="1">
      <x v="17"/>
    </i>
    <i r="2">
      <x v="69"/>
    </i>
    <i r="2">
      <x v="70"/>
    </i>
    <i r="1">
      <x v="18"/>
    </i>
    <i r="2">
      <x v="71"/>
    </i>
    <i r="2">
      <x v="72"/>
    </i>
    <i r="1">
      <x v="20"/>
    </i>
    <i r="2">
      <x v="78"/>
    </i>
    <i r="2">
      <x v="79"/>
    </i>
    <i r="1">
      <x v="21"/>
    </i>
    <i r="2">
      <x v="81"/>
    </i>
    <i r="2">
      <x v="82"/>
    </i>
    <i>
      <x v="9"/>
    </i>
    <i r="1">
      <x/>
    </i>
    <i r="2">
      <x v="37"/>
    </i>
    <i r="2">
      <x v="80"/>
    </i>
    <i r="2">
      <x v="88"/>
    </i>
    <i>
      <x v="10"/>
    </i>
    <i r="1">
      <x v="9"/>
    </i>
    <i r="2">
      <x v="41"/>
    </i>
    <i r="2">
      <x v="42"/>
    </i>
    <i r="1">
      <x v="14"/>
    </i>
    <i r="2">
      <x v="57"/>
    </i>
    <i r="2">
      <x v="58"/>
    </i>
    <i r="1">
      <x v="19"/>
    </i>
    <i r="2">
      <x v="74"/>
    </i>
    <i r="2">
      <x v="75"/>
    </i>
    <i r="1">
      <x v="22"/>
    </i>
    <i r="2">
      <x v="86"/>
    </i>
    <i r="2">
      <x v="87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acacio.klann@costaricamalhas.ind.br" TargetMode="External"/><Relationship Id="rId1" Type="http://schemas.openxmlformats.org/officeDocument/2006/relationships/hyperlink" Target="mailto:gabriel.dias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11"/>
  <sheetViews>
    <sheetView workbookViewId="0">
      <selection activeCell="B10" sqref="B10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19</v>
      </c>
      <c r="B2" s="6"/>
    </row>
    <row r="11" spans="1:2" x14ac:dyDescent="0.25">
      <c r="A11" s="8" t="s">
        <v>18</v>
      </c>
    </row>
  </sheetData>
  <hyperlinks>
    <hyperlink ref="A2" r:id="rId1" xr:uid="{811EBA54-8D13-425A-801A-7A1CD827A3DA}"/>
    <hyperlink ref="A11" r:id="rId2" xr:uid="{46C40C0C-744B-45E7-9BD6-070611AFA211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99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174210</v>
      </c>
      <c r="B6" s="5">
        <v>46136.026388888888</v>
      </c>
    </row>
    <row r="7" spans="1:2" x14ac:dyDescent="0.25">
      <c r="A7" s="4">
        <v>173829</v>
      </c>
      <c r="B7" s="5">
        <v>46136.34097222222</v>
      </c>
    </row>
    <row r="8" spans="1:2" x14ac:dyDescent="0.25">
      <c r="A8" s="2" t="s">
        <v>6</v>
      </c>
      <c r="B8" s="5"/>
    </row>
    <row r="9" spans="1:2" x14ac:dyDescent="0.25">
      <c r="A9" s="3">
        <v>0</v>
      </c>
      <c r="B9" s="5"/>
    </row>
    <row r="10" spans="1:2" x14ac:dyDescent="0.25">
      <c r="A10" s="4">
        <v>174207</v>
      </c>
      <c r="B10" s="5">
        <v>46135.834027777775</v>
      </c>
    </row>
    <row r="11" spans="1:2" x14ac:dyDescent="0.25">
      <c r="A11" s="4">
        <v>173875</v>
      </c>
      <c r="B11" s="5">
        <v>46136.131249999999</v>
      </c>
    </row>
    <row r="12" spans="1:2" x14ac:dyDescent="0.25">
      <c r="A12" s="2" t="s">
        <v>10</v>
      </c>
      <c r="B12" s="5"/>
    </row>
    <row r="13" spans="1:2" x14ac:dyDescent="0.25">
      <c r="A13" s="3">
        <v>0</v>
      </c>
      <c r="B13" s="5"/>
    </row>
    <row r="14" spans="1:2" x14ac:dyDescent="0.25">
      <c r="A14" s="4">
        <v>173898</v>
      </c>
      <c r="B14" s="5">
        <v>46135.589583333334</v>
      </c>
    </row>
    <row r="15" spans="1:2" x14ac:dyDescent="0.25">
      <c r="A15" s="4">
        <v>174708</v>
      </c>
      <c r="B15" s="5">
        <v>46135.913888888892</v>
      </c>
    </row>
    <row r="16" spans="1:2" x14ac:dyDescent="0.25">
      <c r="A16" s="4">
        <v>174012</v>
      </c>
      <c r="B16" s="5">
        <v>46136.105555555558</v>
      </c>
    </row>
    <row r="17" spans="1:2" x14ac:dyDescent="0.25">
      <c r="A17" s="2" t="s">
        <v>11</v>
      </c>
      <c r="B17" s="5"/>
    </row>
    <row r="18" spans="1:2" x14ac:dyDescent="0.25">
      <c r="A18" s="3">
        <v>0</v>
      </c>
      <c r="B18" s="5"/>
    </row>
    <row r="19" spans="1:2" x14ac:dyDescent="0.25">
      <c r="A19" s="4">
        <v>174246</v>
      </c>
      <c r="B19" s="5">
        <v>46135.667361111111</v>
      </c>
    </row>
    <row r="20" spans="1:2" x14ac:dyDescent="0.25">
      <c r="A20" s="4">
        <v>174237</v>
      </c>
      <c r="B20" s="5">
        <v>46135.802083333336</v>
      </c>
    </row>
    <row r="21" spans="1:2" x14ac:dyDescent="0.25">
      <c r="A21" s="4">
        <v>174235</v>
      </c>
      <c r="B21" s="5">
        <v>46135.957638888889</v>
      </c>
    </row>
    <row r="22" spans="1:2" x14ac:dyDescent="0.25">
      <c r="A22" s="4">
        <v>173928</v>
      </c>
      <c r="B22" s="5">
        <v>46136.145138888889</v>
      </c>
    </row>
    <row r="23" spans="1:2" x14ac:dyDescent="0.25">
      <c r="A23" s="4">
        <v>174240</v>
      </c>
      <c r="B23" s="5">
        <v>46136.333333333336</v>
      </c>
    </row>
    <row r="24" spans="1:2" x14ac:dyDescent="0.25">
      <c r="A24" s="4">
        <v>174247</v>
      </c>
      <c r="B24" s="5">
        <v>46136.517361111109</v>
      </c>
    </row>
    <row r="25" spans="1:2" x14ac:dyDescent="0.25">
      <c r="A25" s="4">
        <v>174281</v>
      </c>
      <c r="B25" s="5">
        <v>46136.95416666667</v>
      </c>
    </row>
    <row r="26" spans="1:2" x14ac:dyDescent="0.25">
      <c r="A26" s="2" t="s">
        <v>7</v>
      </c>
      <c r="B26" s="5"/>
    </row>
    <row r="27" spans="1:2" x14ac:dyDescent="0.25">
      <c r="A27" s="3">
        <v>0</v>
      </c>
      <c r="B27" s="5"/>
    </row>
    <row r="28" spans="1:2" x14ac:dyDescent="0.25">
      <c r="A28" s="4">
        <v>173902</v>
      </c>
      <c r="B28" s="5">
        <v>46135.732638888891</v>
      </c>
    </row>
    <row r="29" spans="1:2" x14ac:dyDescent="0.25">
      <c r="A29" s="2" t="s">
        <v>12</v>
      </c>
      <c r="B29" s="5"/>
    </row>
    <row r="30" spans="1:2" x14ac:dyDescent="0.25">
      <c r="A30" s="3">
        <v>0</v>
      </c>
      <c r="B30" s="5"/>
    </row>
    <row r="31" spans="1:2" x14ac:dyDescent="0.25">
      <c r="A31" s="4">
        <v>174228</v>
      </c>
      <c r="B31" s="5">
        <v>46135.737500000003</v>
      </c>
    </row>
    <row r="32" spans="1:2" x14ac:dyDescent="0.25">
      <c r="A32" s="4">
        <v>173933</v>
      </c>
      <c r="B32" s="5">
        <v>46136.52847222222</v>
      </c>
    </row>
    <row r="33" spans="1:2" x14ac:dyDescent="0.25">
      <c r="A33" s="3">
        <v>186032</v>
      </c>
      <c r="B33" s="5"/>
    </row>
    <row r="34" spans="1:2" x14ac:dyDescent="0.25">
      <c r="A34" s="4">
        <v>174356</v>
      </c>
      <c r="B34" s="5">
        <v>46135.976388888892</v>
      </c>
    </row>
    <row r="35" spans="1:2" x14ac:dyDescent="0.25">
      <c r="A35" s="4">
        <v>174355</v>
      </c>
      <c r="B35" s="5">
        <v>46135.976388888892</v>
      </c>
    </row>
    <row r="36" spans="1:2" x14ac:dyDescent="0.25">
      <c r="A36" s="3">
        <v>185938</v>
      </c>
      <c r="B36" s="5"/>
    </row>
    <row r="37" spans="1:2" x14ac:dyDescent="0.25">
      <c r="A37" s="4">
        <v>174024</v>
      </c>
      <c r="B37" s="5">
        <v>46136.129861111112</v>
      </c>
    </row>
    <row r="38" spans="1:2" x14ac:dyDescent="0.25">
      <c r="A38" s="4">
        <v>174025</v>
      </c>
      <c r="B38" s="5">
        <v>46136.129861111112</v>
      </c>
    </row>
    <row r="39" spans="1:2" x14ac:dyDescent="0.25">
      <c r="A39" s="4">
        <v>174028</v>
      </c>
      <c r="B39" s="5">
        <v>46136.129861111112</v>
      </c>
    </row>
    <row r="40" spans="1:2" x14ac:dyDescent="0.25">
      <c r="A40" s="4">
        <v>173797</v>
      </c>
      <c r="B40" s="5">
        <v>46136.129861111112</v>
      </c>
    </row>
    <row r="41" spans="1:2" x14ac:dyDescent="0.25">
      <c r="A41" s="4">
        <v>173250</v>
      </c>
      <c r="B41" s="5">
        <v>46136.129861111112</v>
      </c>
    </row>
    <row r="42" spans="1:2" x14ac:dyDescent="0.25">
      <c r="A42" s="4">
        <v>174407</v>
      </c>
      <c r="B42" s="5">
        <v>46136.129861111112</v>
      </c>
    </row>
    <row r="43" spans="1:2" x14ac:dyDescent="0.25">
      <c r="A43" s="2" t="s">
        <v>13</v>
      </c>
      <c r="B43" s="5"/>
    </row>
    <row r="44" spans="1:2" x14ac:dyDescent="0.25">
      <c r="A44" s="3">
        <v>0</v>
      </c>
      <c r="B44" s="5"/>
    </row>
    <row r="45" spans="1:2" x14ac:dyDescent="0.25">
      <c r="A45" s="4">
        <v>173839</v>
      </c>
      <c r="B45" s="5">
        <v>46136.03402777778</v>
      </c>
    </row>
    <row r="46" spans="1:2" x14ac:dyDescent="0.25">
      <c r="A46" s="4">
        <v>173840</v>
      </c>
      <c r="B46" s="5">
        <v>46136.310416666667</v>
      </c>
    </row>
    <row r="47" spans="1:2" x14ac:dyDescent="0.25">
      <c r="A47" s="4">
        <v>173841</v>
      </c>
      <c r="B47" s="5">
        <v>46136.586805555555</v>
      </c>
    </row>
    <row r="48" spans="1:2" x14ac:dyDescent="0.25">
      <c r="A48" s="4">
        <v>173842</v>
      </c>
      <c r="B48" s="5">
        <v>46136.863194444442</v>
      </c>
    </row>
    <row r="49" spans="1:2" x14ac:dyDescent="0.25">
      <c r="A49" s="2" t="s">
        <v>15</v>
      </c>
      <c r="B49" s="5"/>
    </row>
    <row r="50" spans="1:2" x14ac:dyDescent="0.25">
      <c r="A50" s="3">
        <v>0</v>
      </c>
      <c r="B50" s="5"/>
    </row>
    <row r="51" spans="1:2" x14ac:dyDescent="0.25">
      <c r="A51" s="4">
        <v>174230</v>
      </c>
      <c r="B51" s="5">
        <v>46135.627083333333</v>
      </c>
    </row>
    <row r="52" spans="1:2" x14ac:dyDescent="0.25">
      <c r="A52" s="4">
        <v>174149</v>
      </c>
      <c r="B52" s="5">
        <v>46135.782638888886</v>
      </c>
    </row>
    <row r="53" spans="1:2" x14ac:dyDescent="0.25">
      <c r="A53" s="2" t="s">
        <v>8</v>
      </c>
      <c r="B53" s="5"/>
    </row>
    <row r="54" spans="1:2" x14ac:dyDescent="0.25">
      <c r="A54" s="3">
        <v>185993</v>
      </c>
      <c r="B54" s="5"/>
    </row>
    <row r="55" spans="1:2" x14ac:dyDescent="0.25">
      <c r="A55" s="4">
        <v>173871</v>
      </c>
      <c r="B55" s="5">
        <v>46135.771527777775</v>
      </c>
    </row>
    <row r="56" spans="1:2" x14ac:dyDescent="0.25">
      <c r="A56" s="4">
        <v>173870</v>
      </c>
      <c r="B56" s="5">
        <v>46135.771527777775</v>
      </c>
    </row>
    <row r="57" spans="1:2" x14ac:dyDescent="0.25">
      <c r="A57" s="3">
        <v>185924</v>
      </c>
      <c r="B57" s="5"/>
    </row>
    <row r="58" spans="1:2" x14ac:dyDescent="0.25">
      <c r="A58" s="4">
        <v>172816</v>
      </c>
      <c r="B58" s="5">
        <v>46135.95208333333</v>
      </c>
    </row>
    <row r="59" spans="1:2" x14ac:dyDescent="0.25">
      <c r="A59" s="4">
        <v>172817</v>
      </c>
      <c r="B59" s="5">
        <v>46135.95208333333</v>
      </c>
    </row>
    <row r="60" spans="1:2" x14ac:dyDescent="0.25">
      <c r="A60" s="3">
        <v>185925</v>
      </c>
      <c r="B60" s="5"/>
    </row>
    <row r="61" spans="1:2" x14ac:dyDescent="0.25">
      <c r="A61" s="4">
        <v>172818</v>
      </c>
      <c r="B61" s="5">
        <v>46136.019444444442</v>
      </c>
    </row>
    <row r="62" spans="1:2" x14ac:dyDescent="0.25">
      <c r="A62" s="4">
        <v>172819</v>
      </c>
      <c r="B62" s="5">
        <v>46136.019444444442</v>
      </c>
    </row>
    <row r="63" spans="1:2" x14ac:dyDescent="0.25">
      <c r="A63" s="3">
        <v>185926</v>
      </c>
      <c r="B63" s="5"/>
    </row>
    <row r="64" spans="1:2" x14ac:dyDescent="0.25">
      <c r="A64" s="4">
        <v>172820</v>
      </c>
      <c r="B64" s="5">
        <v>46136.086805555555</v>
      </c>
    </row>
    <row r="65" spans="1:2" x14ac:dyDescent="0.25">
      <c r="A65" s="4">
        <v>172821</v>
      </c>
      <c r="B65" s="5">
        <v>46136.086805555555</v>
      </c>
    </row>
    <row r="66" spans="1:2" x14ac:dyDescent="0.25">
      <c r="A66" s="3">
        <v>185927</v>
      </c>
      <c r="B66" s="5"/>
    </row>
    <row r="67" spans="1:2" x14ac:dyDescent="0.25">
      <c r="A67" s="4">
        <v>172823</v>
      </c>
      <c r="B67" s="5">
        <v>46136.154166666667</v>
      </c>
    </row>
    <row r="68" spans="1:2" x14ac:dyDescent="0.25">
      <c r="A68" s="4">
        <v>172822</v>
      </c>
      <c r="B68" s="5">
        <v>46136.154166666667</v>
      </c>
    </row>
    <row r="69" spans="1:2" x14ac:dyDescent="0.25">
      <c r="A69" s="3">
        <v>185928</v>
      </c>
      <c r="B69" s="5"/>
    </row>
    <row r="70" spans="1:2" x14ac:dyDescent="0.25">
      <c r="A70" s="4">
        <v>172824</v>
      </c>
      <c r="B70" s="5">
        <v>46136.22152777778</v>
      </c>
    </row>
    <row r="71" spans="1:2" x14ac:dyDescent="0.25">
      <c r="A71" s="4">
        <v>172825</v>
      </c>
      <c r="B71" s="5">
        <v>46136.22152777778</v>
      </c>
    </row>
    <row r="72" spans="1:2" x14ac:dyDescent="0.25">
      <c r="A72" s="3">
        <v>185990</v>
      </c>
      <c r="B72" s="5"/>
    </row>
    <row r="73" spans="1:2" x14ac:dyDescent="0.25">
      <c r="A73" s="4">
        <v>174203</v>
      </c>
      <c r="B73" s="5">
        <v>46136.288888888892</v>
      </c>
    </row>
    <row r="74" spans="1:2" x14ac:dyDescent="0.25">
      <c r="A74" s="4">
        <v>174204</v>
      </c>
      <c r="B74" s="5">
        <v>46136.288888888892</v>
      </c>
    </row>
    <row r="75" spans="1:2" x14ac:dyDescent="0.25">
      <c r="A75" s="3">
        <v>185929</v>
      </c>
      <c r="B75" s="5"/>
    </row>
    <row r="76" spans="1:2" x14ac:dyDescent="0.25">
      <c r="A76" s="4">
        <v>172827</v>
      </c>
      <c r="B76" s="5">
        <v>46136.386111111111</v>
      </c>
    </row>
    <row r="77" spans="1:2" x14ac:dyDescent="0.25">
      <c r="A77" s="4">
        <v>172826</v>
      </c>
      <c r="B77" s="5">
        <v>46136.386111111111</v>
      </c>
    </row>
    <row r="78" spans="1:2" x14ac:dyDescent="0.25">
      <c r="A78" s="3">
        <v>185930</v>
      </c>
      <c r="B78" s="5"/>
    </row>
    <row r="79" spans="1:2" x14ac:dyDescent="0.25">
      <c r="A79" s="4">
        <v>172829</v>
      </c>
      <c r="B79" s="5">
        <v>46136.453472222223</v>
      </c>
    </row>
    <row r="80" spans="1:2" x14ac:dyDescent="0.25">
      <c r="A80" s="4">
        <v>172828</v>
      </c>
      <c r="B80" s="5">
        <v>46136.453472222223</v>
      </c>
    </row>
    <row r="81" spans="1:2" x14ac:dyDescent="0.25">
      <c r="A81" s="2" t="s">
        <v>9</v>
      </c>
      <c r="B81" s="5"/>
    </row>
    <row r="82" spans="1:2" x14ac:dyDescent="0.25">
      <c r="A82" s="3">
        <v>0</v>
      </c>
      <c r="B82" s="5"/>
    </row>
    <row r="83" spans="1:2" x14ac:dyDescent="0.25">
      <c r="A83" s="4">
        <v>174206</v>
      </c>
      <c r="B83" s="5">
        <v>46135.786111111112</v>
      </c>
    </row>
    <row r="84" spans="1:2" x14ac:dyDescent="0.25">
      <c r="A84" s="4">
        <v>174209</v>
      </c>
      <c r="B84" s="5">
        <v>46136.411805555559</v>
      </c>
    </row>
    <row r="85" spans="1:2" x14ac:dyDescent="0.25">
      <c r="A85" s="4">
        <v>173966</v>
      </c>
      <c r="B85" s="5">
        <v>46136.703472222223</v>
      </c>
    </row>
    <row r="86" spans="1:2" x14ac:dyDescent="0.25">
      <c r="A86" s="2" t="s">
        <v>14</v>
      </c>
      <c r="B86" s="5"/>
    </row>
    <row r="87" spans="1:2" x14ac:dyDescent="0.25">
      <c r="A87" s="3">
        <v>186008</v>
      </c>
      <c r="B87" s="5"/>
    </row>
    <row r="88" spans="1:2" x14ac:dyDescent="0.25">
      <c r="A88" s="4">
        <v>173858</v>
      </c>
      <c r="B88" s="5">
        <v>46135.861111111109</v>
      </c>
    </row>
    <row r="89" spans="1:2" x14ac:dyDescent="0.25">
      <c r="A89" s="4">
        <v>173857</v>
      </c>
      <c r="B89" s="5">
        <v>46135.861111111109</v>
      </c>
    </row>
    <row r="90" spans="1:2" x14ac:dyDescent="0.25">
      <c r="A90" s="3">
        <v>186005</v>
      </c>
      <c r="B90" s="5"/>
    </row>
    <row r="91" spans="1:2" x14ac:dyDescent="0.25">
      <c r="A91" s="4">
        <v>173956</v>
      </c>
      <c r="B91" s="5">
        <v>46136.119444444441</v>
      </c>
    </row>
    <row r="92" spans="1:2" x14ac:dyDescent="0.25">
      <c r="A92" s="4">
        <v>173955</v>
      </c>
      <c r="B92" s="5">
        <v>46136.119444444441</v>
      </c>
    </row>
    <row r="93" spans="1:2" x14ac:dyDescent="0.25">
      <c r="A93" s="3">
        <v>186004</v>
      </c>
      <c r="B93" s="5"/>
    </row>
    <row r="94" spans="1:2" x14ac:dyDescent="0.25">
      <c r="A94" s="4">
        <v>174422</v>
      </c>
      <c r="B94" s="5">
        <v>46136.311805555553</v>
      </c>
    </row>
    <row r="95" spans="1:2" x14ac:dyDescent="0.25">
      <c r="A95" s="4">
        <v>174421</v>
      </c>
      <c r="B95" s="5">
        <v>46136.311805555553</v>
      </c>
    </row>
    <row r="96" spans="1:2" x14ac:dyDescent="0.25">
      <c r="A96" s="3">
        <v>186010</v>
      </c>
      <c r="B96" s="5"/>
    </row>
    <row r="97" spans="1:2" x14ac:dyDescent="0.25">
      <c r="A97" s="4">
        <v>173828</v>
      </c>
      <c r="B97" s="5">
        <v>46136.633333333331</v>
      </c>
    </row>
    <row r="98" spans="1:2" x14ac:dyDescent="0.25">
      <c r="A98" s="4">
        <v>173827</v>
      </c>
      <c r="B98" s="5">
        <v>46136.633333333331</v>
      </c>
    </row>
    <row r="99" spans="1:2" x14ac:dyDescent="0.25">
      <c r="A99" s="2" t="s">
        <v>1</v>
      </c>
      <c r="B99" s="5">
        <v>46135.589583333334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2026-04-23T15:58:30Z</dcterms:modified>
</cp:coreProperties>
</file>