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5A918281-0133-4445-AD79-37C6BB63813A}" xr6:coauthVersionLast="47" xr6:coauthVersionMax="47" xr10:uidLastSave="{00000000-0000-0000-0000-000000000000}"/>
  <bookViews>
    <workbookView xWindow="-120" yWindow="-120" windowWidth="29040" windowHeight="15840" activeTab="1" xr2:uid="{E36E89AB-B6B3-4723-B386-2AC7DD1FA543}"/>
  </bookViews>
  <sheets>
    <sheet name="Config" sheetId="6" r:id="rId1"/>
    <sheet name="ControleReceitasEmitidas" sheetId="5" r:id="rId2"/>
  </sheets>
  <calcPr calcId="191029" iterate="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<sst xmlns="http://schemas.openxmlformats.org/spreadsheetml/2006/main" count="19" uniqueCount="19">
  <si>
    <t>PESADA</t>
  </si>
  <si>
    <t>Total Geral</t>
  </si>
  <si>
    <t>NÃO</t>
  </si>
  <si>
    <t>MQ01</t>
  </si>
  <si>
    <t>Máq./Grupo/Nº OB</t>
  </si>
  <si>
    <t>Início do Tingimento</t>
  </si>
  <si>
    <t>MQ02</t>
  </si>
  <si>
    <t>MQ05</t>
  </si>
  <si>
    <t>MQ09</t>
  </si>
  <si>
    <t>MQ10</t>
  </si>
  <si>
    <t>MQ03</t>
  </si>
  <si>
    <t>MQ04</t>
  </si>
  <si>
    <t>MQ06</t>
  </si>
  <si>
    <t>MQ07</t>
  </si>
  <si>
    <t>MQ11</t>
  </si>
  <si>
    <t>MQ08</t>
  </si>
  <si>
    <t>Para</t>
  </si>
  <si>
    <t>Cópia</t>
  </si>
  <si>
    <t>acacio.klann@costaricamalhas.ind.br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</si>
</sst>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  <xf numFmtId="0" fontId="0" fillId="0" borderId="2" xfId="0" applyBorder="1"/>
    <xf numFmtId="0" fontId="1" fillId="0" borderId="1" xfId="1" applyBorder="1"/>
  </cellXfs>
  <cellStyles count="2">
    <cellStyle name="Hi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22.295337152776" missingItemsLimit="0" createdVersion="7" refreshedVersion="7" minRefreshableVersion="3" recordCount="65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5824" count="11">
        <n v="0"/>
        <n v="185821"/>
        <n v="185768"/>
        <n v="185797"/>
        <n v="185689"/>
        <n v="185820"/>
        <n v="185796"/>
        <n v="185822"/>
        <n v="185726"/>
        <n v="185824"/>
        <n v="185819"/>
      </sharedItems>
    </cacheField>
    <cacheField name="NUMERO_OB" numFmtId="0">
      <sharedItems containsSemiMixedTypes="0" containsString="0" containsNumber="1" containsInteger="1" minValue="171805" maxValue="173443" count="65">
        <n v="172527"/>
        <n v="172533"/>
        <n v="172532"/>
        <n v="173437"/>
        <n v="172517"/>
        <n v="173443"/>
        <n v="173120"/>
        <n v="173119"/>
        <n v="173135"/>
        <n v="173136"/>
        <n v="171880"/>
        <n v="171881"/>
        <n v="172528"/>
        <n v="172531"/>
        <n v="172516"/>
        <n v="173374"/>
        <n v="172529"/>
        <n v="173438"/>
        <n v="173306"/>
        <n v="172416"/>
        <n v="172417"/>
        <n v="172522"/>
        <n v="173125"/>
        <n v="173126"/>
        <n v="173375"/>
        <n v="172602"/>
        <n v="171882"/>
        <n v="171883"/>
        <n v="173302"/>
        <n v="173308"/>
        <n v="172603"/>
        <n v="173394"/>
        <n v="171805"/>
        <n v="173376"/>
        <n v="173312"/>
        <n v="173124"/>
        <n v="172537"/>
        <n v="173113"/>
        <n v="173114"/>
        <n v="172728"/>
        <n v="172592"/>
        <n v="172591"/>
        <n v="173395"/>
        <n v="173377"/>
        <n v="173303"/>
        <n v="173309"/>
        <n v="172538"/>
        <n v="171892"/>
        <n v="173313"/>
        <n v="173396"/>
        <n v="173378"/>
        <n v="172421"/>
        <n v="173109"/>
        <n v="173110"/>
        <n v="172554"/>
        <n v="173115"/>
        <n v="173116"/>
        <n v="173397"/>
        <n v="173369"/>
        <n v="173304"/>
        <n v="173310"/>
        <n v="173143"/>
        <n v="171893"/>
        <n v="173314"/>
        <n v="173106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10"/>
        <s v="MQ01"/>
        <s v="MQ03"/>
        <s v="MQ06"/>
        <s v="MQ08"/>
        <s v="MQ04"/>
        <s v="MQ11"/>
        <s v="MQ05"/>
        <s v="MQ09"/>
        <s v="MQ02"/>
        <s v="MQ07"/>
      </sharedItems>
    </cacheField>
    <cacheField name="INICIO_TING" numFmtId="0">
      <sharedItems containsSemiMixedTypes="0" containsNonDate="0" containsDate="1" containsString="0" minDate="2026-04-10T00:19:00" maxDate="2026-04-11T00:42:00"/>
    </cacheField>
    <cacheField name="FINAL_TING" numFmtId="0">
      <sharedItems containsSemiMixedTypes="0" containsNonDate="0" containsDate="1" containsString="0" minDate="2026-04-10T06:42:00" maxDate="2026-04-11T05:33:00"/>
    </cacheField>
    <cacheField name="ARTIGO" numFmtId="0">
      <sharedItems count="11">
        <s v="00030     "/>
        <s v="00146     "/>
        <s v="00189     "/>
        <s v="00018     "/>
        <s v="00016     "/>
        <s v="00024     "/>
        <s v="00010     "/>
        <s v="00032     "/>
        <s v="00042     "/>
        <s v="00014     "/>
        <s v="00012     "/>
      </sharedItems>
    </cacheField>
    <cacheField name="REDUZIDO" numFmtId="0">
      <sharedItems containsSemiMixedTypes="0" containsString="0" containsNumber="1" containsInteger="1" minValue="206" maxValue="17151"/>
    </cacheField>
    <cacheField name="DESCRICAO" numFmtId="0">
      <sharedItems/>
    </cacheField>
    <cacheField name="FASE_ATUAL" numFmtId="0">
      <sharedItems count="2">
        <s v="TIN-TINGIMENTO"/>
        <s v="RMC-REVISÃO MALHA CRUA"/>
      </sharedItems>
    </cacheField>
    <cacheField name="STATUS_FASE" numFmtId="0">
      <sharedItems count="4">
        <s v="EM EXECUÇÃO"/>
        <s v="PESADA"/>
        <s v="EMITIDA"/>
        <s v="PROGRAMADA"/>
      </sharedItems>
    </cacheField>
    <cacheField name="USUARIO" numFmtId="0">
      <sharedItems containsBlank="1" count="3">
        <s v="GLEVID AVISAI  CEDEÑO  MOLINA"/>
        <s v="RAFAEL ALEXANDRE DA ROSA"/>
        <m/>
      </sharedItems>
    </cacheField>
    <cacheField name="HORARIO_PESADO" numFmtId="0">
      <sharedItems containsNonDate="0" containsDate="1" containsString="0" containsBlank="1" minDate="2026-04-09T14:49:00" maxDate="2026-04-10T00:33:36" count="20">
        <d v="2026-04-09T15:02:44"/>
        <d v="2026-04-09T15:36:11"/>
        <d v="2026-04-09T14:49:00"/>
        <d v="2026-04-10T00:13:55"/>
        <d v="2026-04-09T23:48:21"/>
        <d v="2026-04-10T00:08:49"/>
        <d v="2026-04-09T16:58:14"/>
        <d v="2026-04-10T00:01:00"/>
        <d v="2026-04-10T00:33:36"/>
        <d v="2026-04-10T00:24:42"/>
        <d v="2026-04-09T23:21:28"/>
        <d v="2026-04-09T23:33:13"/>
        <d v="2026-04-09T23:36:35"/>
        <d v="2026-04-09T22:48:57"/>
        <d v="2026-04-10T00:19:21"/>
        <d v="2026-04-09T23:06:23"/>
        <d v="2026-04-09T23:00:03"/>
        <m/>
        <d v="2026-04-09T23:27:58"/>
        <d v="2026-04-09T23:10:53"/>
      </sharedItems>
    </cacheField>
    <cacheField name="DIAS_PESADO" numFmtId="0">
      <sharedItems containsString="0" containsBlank="1" containsNumber="1" minValue="0.27" maxValue="0.68" count="13">
        <n v="0.67"/>
        <n v="0.65"/>
        <n v="0.68"/>
        <n v="0.28999999999999998"/>
        <n v="0.3"/>
        <n v="0.59"/>
        <n v="0.27"/>
        <n v="0.28000000000000003"/>
        <n v="0.32"/>
        <n v="0.31"/>
        <n v="0.34"/>
        <n v="0.33"/>
        <m/>
      </sharedItems>
    </cacheField>
    <cacheField name="QUANT_PESADA" numFmtId="0">
      <sharedItems containsSemiMixedTypes="0" containsString="0" containsNumber="1" minValue="0" maxValue="154.613" count="20">
        <n v="23.484999999999999"/>
        <n v="16.850000000000001"/>
        <n v="40.220999999999997"/>
        <n v="9.3849800000000005"/>
        <n v="0.48365999999999998"/>
        <n v="15.398540000000001"/>
        <n v="51.307000000000002"/>
        <n v="27.308810000000001"/>
        <n v="154.613"/>
        <n v="7.4379999999999997"/>
        <n v="16.157"/>
        <n v="0.88766"/>
        <n v="0.19631000000000001"/>
        <n v="67.340999999999994"/>
        <n v="9.3555399999999995"/>
        <n v="11.736000000000001"/>
        <n v="28.98"/>
        <n v="0"/>
        <n v="34.063000000000002"/>
        <n v="11.4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x v="0"/>
    <x v="0"/>
    <x v="0"/>
    <x v="0"/>
    <d v="2026-04-10T00:19:00"/>
    <d v="2026-04-10T06:51:00"/>
    <x v="0"/>
    <n v="4186"/>
    <s v="M/M 30/1 CARDADA OE AMARELO CANÁRIO"/>
    <x v="0"/>
    <x v="0"/>
    <x v="0"/>
    <x v="0"/>
    <x v="0"/>
    <x v="0"/>
  </r>
  <r>
    <x v="0"/>
    <x v="1"/>
    <x v="0"/>
    <x v="1"/>
    <d v="2026-04-10T01:17:00"/>
    <d v="2026-04-10T07:28:00"/>
    <x v="0"/>
    <n v="3002"/>
    <s v="M/M 30/1 CARDADA OE VINHO"/>
    <x v="0"/>
    <x v="0"/>
    <x v="0"/>
    <x v="1"/>
    <x v="1"/>
    <x v="1"/>
  </r>
  <r>
    <x v="0"/>
    <x v="2"/>
    <x v="0"/>
    <x v="2"/>
    <d v="2026-04-10T03:07:00"/>
    <d v="2026-04-10T09:44:00"/>
    <x v="0"/>
    <n v="3371"/>
    <s v="M/M 30/1 CARDADA OE TURQUESA"/>
    <x v="0"/>
    <x v="0"/>
    <x v="0"/>
    <x v="2"/>
    <x v="2"/>
    <x v="2"/>
  </r>
  <r>
    <x v="0"/>
    <x v="3"/>
    <x v="0"/>
    <x v="3"/>
    <d v="2026-04-10T03:11:00"/>
    <d v="2026-04-10T07:51:00"/>
    <x v="1"/>
    <n v="1785"/>
    <s v="HELANCA 100%PES ROYAL"/>
    <x v="0"/>
    <x v="0"/>
    <x v="1"/>
    <x v="3"/>
    <x v="3"/>
    <x v="3"/>
  </r>
  <r>
    <x v="0"/>
    <x v="4"/>
    <x v="0"/>
    <x v="4"/>
    <d v="2026-04-10T03:31:00"/>
    <d v="2026-04-10T06:42:00"/>
    <x v="0"/>
    <n v="2428"/>
    <s v="M/M 30/1 CARDADA OE CINZA CLARO"/>
    <x v="0"/>
    <x v="0"/>
    <x v="1"/>
    <x v="4"/>
    <x v="4"/>
    <x v="4"/>
  </r>
  <r>
    <x v="0"/>
    <x v="5"/>
    <x v="0"/>
    <x v="5"/>
    <d v="2026-04-10T03:55:00"/>
    <d v="2026-04-10T08:00:00"/>
    <x v="1"/>
    <n v="1840"/>
    <s v="HELANCA 100%PES MARINHO"/>
    <x v="0"/>
    <x v="0"/>
    <x v="1"/>
    <x v="5"/>
    <x v="3"/>
    <x v="5"/>
  </r>
  <r>
    <x v="1"/>
    <x v="6"/>
    <x v="0"/>
    <x v="6"/>
    <d v="2026-04-10T04:25:00"/>
    <d v="2026-04-10T10:11:00"/>
    <x v="2"/>
    <n v="12248"/>
    <s v="VISCOLYCRA VORTEX VERDE MILITAR"/>
    <x v="0"/>
    <x v="0"/>
    <x v="0"/>
    <x v="6"/>
    <x v="5"/>
    <x v="6"/>
  </r>
  <r>
    <x v="1"/>
    <x v="7"/>
    <x v="0"/>
    <x v="6"/>
    <d v="2026-04-10T04:25:00"/>
    <d v="2026-04-10T10:11:00"/>
    <x v="2"/>
    <n v="12248"/>
    <s v="VISCOLYCRA VORTEX VERDE MILITAR"/>
    <x v="0"/>
    <x v="0"/>
    <x v="0"/>
    <x v="6"/>
    <x v="5"/>
    <x v="6"/>
  </r>
  <r>
    <x v="2"/>
    <x v="8"/>
    <x v="0"/>
    <x v="7"/>
    <d v="2026-04-10T05:35:00"/>
    <d v="2026-04-10T12:04:00"/>
    <x v="3"/>
    <n v="1844"/>
    <s v="PIQUE PA MARINHO"/>
    <x v="0"/>
    <x v="0"/>
    <x v="1"/>
    <x v="7"/>
    <x v="3"/>
    <x v="7"/>
  </r>
  <r>
    <x v="2"/>
    <x v="9"/>
    <x v="0"/>
    <x v="7"/>
    <d v="2026-04-10T05:35:00"/>
    <d v="2026-04-10T12:04:00"/>
    <x v="4"/>
    <n v="1847"/>
    <s v="GOLA PA MARINHO"/>
    <x v="0"/>
    <x v="0"/>
    <x v="1"/>
    <x v="7"/>
    <x v="3"/>
    <x v="7"/>
  </r>
  <r>
    <x v="3"/>
    <x v="10"/>
    <x v="0"/>
    <x v="8"/>
    <d v="2026-04-10T06:03:00"/>
    <d v="2026-04-10T11:08:00"/>
    <x v="2"/>
    <n v="11944"/>
    <s v="VISCOLYCRA VORTEX PRETO"/>
    <x v="0"/>
    <x v="0"/>
    <x v="1"/>
    <x v="8"/>
    <x v="6"/>
    <x v="8"/>
  </r>
  <r>
    <x v="3"/>
    <x v="11"/>
    <x v="0"/>
    <x v="8"/>
    <d v="2026-04-10T06:03:00"/>
    <d v="2026-04-10T11:08:00"/>
    <x v="2"/>
    <n v="11944"/>
    <s v="VISCOLYCRA VORTEX PRETO"/>
    <x v="0"/>
    <x v="0"/>
    <x v="1"/>
    <x v="8"/>
    <x v="6"/>
    <x v="8"/>
  </r>
  <r>
    <x v="0"/>
    <x v="12"/>
    <x v="0"/>
    <x v="9"/>
    <d v="2026-04-10T06:56:00"/>
    <d v="2026-04-10T10:24:00"/>
    <x v="0"/>
    <n v="206"/>
    <s v="M/M 30/1 CARDADA OE BRANCO"/>
    <x v="0"/>
    <x v="0"/>
    <x v="1"/>
    <x v="9"/>
    <x v="7"/>
    <x v="9"/>
  </r>
  <r>
    <x v="0"/>
    <x v="13"/>
    <x v="0"/>
    <x v="0"/>
    <d v="2026-04-10T07:00:00"/>
    <d v="2026-04-10T13:12:00"/>
    <x v="0"/>
    <n v="3115"/>
    <s v="M/M 30/1 CARDADA OE LARANJA"/>
    <x v="0"/>
    <x v="1"/>
    <x v="1"/>
    <x v="10"/>
    <x v="8"/>
    <x v="10"/>
  </r>
  <r>
    <x v="0"/>
    <x v="14"/>
    <x v="0"/>
    <x v="4"/>
    <d v="2026-04-10T07:00:00"/>
    <d v="2026-04-10T10:01:00"/>
    <x v="0"/>
    <n v="2956"/>
    <s v="M/M 30/1 CARDADA OE AZUL CELESTE"/>
    <x v="0"/>
    <x v="1"/>
    <x v="1"/>
    <x v="11"/>
    <x v="9"/>
    <x v="11"/>
  </r>
  <r>
    <x v="0"/>
    <x v="15"/>
    <x v="0"/>
    <x v="10"/>
    <d v="2026-04-10T07:04:00"/>
    <d v="2026-04-10T10:14:00"/>
    <x v="5"/>
    <n v="404"/>
    <s v="M/M 24/1 18 TRAMAS SALMAO BEBÊ"/>
    <x v="0"/>
    <x v="0"/>
    <x v="1"/>
    <x v="12"/>
    <x v="9"/>
    <x v="12"/>
  </r>
  <r>
    <x v="0"/>
    <x v="16"/>
    <x v="0"/>
    <x v="1"/>
    <d v="2026-04-10T07:29:00"/>
    <d v="2026-04-10T14:06:00"/>
    <x v="0"/>
    <n v="2431"/>
    <s v="M/M 30/1 CARDADA OE VERMELHO"/>
    <x v="0"/>
    <x v="1"/>
    <x v="1"/>
    <x v="13"/>
    <x v="10"/>
    <x v="13"/>
  </r>
  <r>
    <x v="0"/>
    <x v="17"/>
    <x v="0"/>
    <x v="3"/>
    <d v="2026-04-10T07:52:00"/>
    <d v="2026-04-10T12:22:00"/>
    <x v="1"/>
    <n v="1785"/>
    <s v="HELANCA 100%PES ROYAL"/>
    <x v="0"/>
    <x v="1"/>
    <x v="1"/>
    <x v="14"/>
    <x v="7"/>
    <x v="14"/>
  </r>
  <r>
    <x v="0"/>
    <x v="18"/>
    <x v="0"/>
    <x v="5"/>
    <d v="2026-04-10T08:01:00"/>
    <d v="2026-04-10T13:17:00"/>
    <x v="2"/>
    <n v="17151"/>
    <s v="VISCOLYCRA VORTEX MARROM"/>
    <x v="0"/>
    <x v="1"/>
    <x v="1"/>
    <x v="15"/>
    <x v="11"/>
    <x v="15"/>
  </r>
  <r>
    <x v="4"/>
    <x v="19"/>
    <x v="0"/>
    <x v="2"/>
    <d v="2026-04-10T09:45:00"/>
    <d v="2026-04-10T15:44:00"/>
    <x v="6"/>
    <n v="14528"/>
    <s v="RIBANA 30/1 OE VERDE BANDEIRA"/>
    <x v="0"/>
    <x v="1"/>
    <x v="1"/>
    <x v="16"/>
    <x v="10"/>
    <x v="16"/>
  </r>
  <r>
    <x v="4"/>
    <x v="20"/>
    <x v="0"/>
    <x v="2"/>
    <d v="2026-04-10T09:45:00"/>
    <d v="2026-04-10T15:44:00"/>
    <x v="6"/>
    <n v="14528"/>
    <s v="RIBANA 30/1 OE VERDE BANDEIRA"/>
    <x v="0"/>
    <x v="1"/>
    <x v="1"/>
    <x v="16"/>
    <x v="10"/>
    <x v="16"/>
  </r>
  <r>
    <x v="0"/>
    <x v="21"/>
    <x v="1"/>
    <x v="4"/>
    <d v="2026-04-10T10:02:00"/>
    <d v="2026-04-10T13:03:00"/>
    <x v="0"/>
    <n v="5205"/>
    <s v="M/M 30/1 CARDADA OE LILÁS CLARO"/>
    <x v="0"/>
    <x v="2"/>
    <x v="2"/>
    <x v="17"/>
    <x v="12"/>
    <x v="17"/>
  </r>
  <r>
    <x v="5"/>
    <x v="22"/>
    <x v="0"/>
    <x v="6"/>
    <d v="2026-04-10T10:12:00"/>
    <d v="2026-04-10T15:38:00"/>
    <x v="2"/>
    <n v="12250"/>
    <s v="VISCOLYCRA VORTEX VINHO"/>
    <x v="0"/>
    <x v="1"/>
    <x v="1"/>
    <x v="18"/>
    <x v="8"/>
    <x v="18"/>
  </r>
  <r>
    <x v="5"/>
    <x v="23"/>
    <x v="0"/>
    <x v="6"/>
    <d v="2026-04-10T10:12:00"/>
    <d v="2026-04-10T15:38:00"/>
    <x v="2"/>
    <n v="12250"/>
    <s v="VISCOLYCRA VORTEX VINHO"/>
    <x v="0"/>
    <x v="1"/>
    <x v="1"/>
    <x v="18"/>
    <x v="8"/>
    <x v="18"/>
  </r>
  <r>
    <x v="0"/>
    <x v="24"/>
    <x v="1"/>
    <x v="10"/>
    <d v="2026-04-10T10:15:00"/>
    <d v="2026-04-10T13:15:00"/>
    <x v="5"/>
    <n v="404"/>
    <s v="M/M 24/1 18 TRAMAS SALMAO BEBÊ"/>
    <x v="0"/>
    <x v="2"/>
    <x v="2"/>
    <x v="17"/>
    <x v="12"/>
    <x v="17"/>
  </r>
  <r>
    <x v="0"/>
    <x v="25"/>
    <x v="1"/>
    <x v="9"/>
    <d v="2026-04-10T10:25:00"/>
    <d v="2026-04-10T12:34:00"/>
    <x v="5"/>
    <n v="254"/>
    <s v="M/M 24/1 18 TRAMAS MARFIM"/>
    <x v="0"/>
    <x v="2"/>
    <x v="2"/>
    <x v="17"/>
    <x v="12"/>
    <x v="17"/>
  </r>
  <r>
    <x v="6"/>
    <x v="26"/>
    <x v="1"/>
    <x v="8"/>
    <d v="2026-04-10T11:09:00"/>
    <d v="2026-04-10T15:54:00"/>
    <x v="2"/>
    <n v="11944"/>
    <s v="VISCOLYCRA VORTEX PRETO"/>
    <x v="0"/>
    <x v="2"/>
    <x v="2"/>
    <x v="17"/>
    <x v="12"/>
    <x v="17"/>
  </r>
  <r>
    <x v="6"/>
    <x v="27"/>
    <x v="1"/>
    <x v="8"/>
    <d v="2026-04-10T11:09:00"/>
    <d v="2026-04-10T15:54:00"/>
    <x v="2"/>
    <n v="11944"/>
    <s v="VISCOLYCRA VORTEX PRETO"/>
    <x v="0"/>
    <x v="2"/>
    <x v="2"/>
    <x v="17"/>
    <x v="12"/>
    <x v="17"/>
  </r>
  <r>
    <x v="0"/>
    <x v="28"/>
    <x v="0"/>
    <x v="7"/>
    <d v="2026-04-10T12:05:00"/>
    <d v="2026-04-10T17:21:00"/>
    <x v="2"/>
    <n v="17151"/>
    <s v="VISCOLYCRA VORTEX MARROM"/>
    <x v="0"/>
    <x v="1"/>
    <x v="1"/>
    <x v="19"/>
    <x v="11"/>
    <x v="19"/>
  </r>
  <r>
    <x v="0"/>
    <x v="29"/>
    <x v="1"/>
    <x v="3"/>
    <d v="2026-04-10T12:23:00"/>
    <d v="2026-04-10T17:39:00"/>
    <x v="2"/>
    <n v="17151"/>
    <s v="VISCOLYCRA VORTEX MARROM"/>
    <x v="0"/>
    <x v="2"/>
    <x v="2"/>
    <x v="17"/>
    <x v="12"/>
    <x v="17"/>
  </r>
  <r>
    <x v="0"/>
    <x v="30"/>
    <x v="1"/>
    <x v="9"/>
    <d v="2026-04-10T12:35:00"/>
    <d v="2026-04-10T14:44:00"/>
    <x v="5"/>
    <n v="254"/>
    <s v="M/M 24/1 18 TRAMAS MARFIM"/>
    <x v="0"/>
    <x v="2"/>
    <x v="2"/>
    <x v="17"/>
    <x v="12"/>
    <x v="17"/>
  </r>
  <r>
    <x v="0"/>
    <x v="31"/>
    <x v="1"/>
    <x v="4"/>
    <d v="2026-04-10T13:04:00"/>
    <d v="2026-04-10T16:04:00"/>
    <x v="5"/>
    <n v="2381"/>
    <s v="M/M 24/1 18 TRAMAS ROSA BEBÊ"/>
    <x v="0"/>
    <x v="2"/>
    <x v="2"/>
    <x v="17"/>
    <x v="12"/>
    <x v="17"/>
  </r>
  <r>
    <x v="0"/>
    <x v="32"/>
    <x v="1"/>
    <x v="0"/>
    <d v="2026-04-10T13:13:00"/>
    <d v="2026-04-10T18:24:00"/>
    <x v="2"/>
    <n v="15291"/>
    <s v="VISCOLYCRA VORTEX AMARELO CANÁRIO"/>
    <x v="0"/>
    <x v="2"/>
    <x v="2"/>
    <x v="17"/>
    <x v="12"/>
    <x v="17"/>
  </r>
  <r>
    <x v="0"/>
    <x v="33"/>
    <x v="1"/>
    <x v="10"/>
    <d v="2026-04-10T13:16:00"/>
    <d v="2026-04-10T16:16:00"/>
    <x v="5"/>
    <n v="404"/>
    <s v="M/M 24/1 18 TRAMAS SALMAO BEBÊ"/>
    <x v="0"/>
    <x v="2"/>
    <x v="2"/>
    <x v="17"/>
    <x v="12"/>
    <x v="17"/>
  </r>
  <r>
    <x v="0"/>
    <x v="34"/>
    <x v="1"/>
    <x v="5"/>
    <d v="2026-04-10T13:18:00"/>
    <d v="2026-04-10T18:34:00"/>
    <x v="2"/>
    <n v="12250"/>
    <s v="VISCOLYCRA VORTEX VINHO"/>
    <x v="0"/>
    <x v="2"/>
    <x v="2"/>
    <x v="17"/>
    <x v="12"/>
    <x v="17"/>
  </r>
  <r>
    <x v="0"/>
    <x v="35"/>
    <x v="1"/>
    <x v="1"/>
    <d v="2026-04-10T14:07:00"/>
    <d v="2026-04-10T19:23:00"/>
    <x v="2"/>
    <n v="12250"/>
    <s v="VISCOLYCRA VORTEX VINHO"/>
    <x v="0"/>
    <x v="2"/>
    <x v="2"/>
    <x v="17"/>
    <x v="12"/>
    <x v="17"/>
  </r>
  <r>
    <x v="0"/>
    <x v="36"/>
    <x v="1"/>
    <x v="9"/>
    <d v="2026-04-10T14:45:00"/>
    <d v="2026-04-10T18:03:00"/>
    <x v="7"/>
    <n v="208"/>
    <s v="M/M 30/1 PENTEADO BRANCO"/>
    <x v="0"/>
    <x v="2"/>
    <x v="2"/>
    <x v="17"/>
    <x v="12"/>
    <x v="17"/>
  </r>
  <r>
    <x v="7"/>
    <x v="37"/>
    <x v="1"/>
    <x v="6"/>
    <d v="2026-04-10T15:39:00"/>
    <d v="2026-04-10T21:05:00"/>
    <x v="2"/>
    <n v="12247"/>
    <s v="VISCOLYCRA VORTEX MARINHO"/>
    <x v="0"/>
    <x v="2"/>
    <x v="2"/>
    <x v="17"/>
    <x v="12"/>
    <x v="17"/>
  </r>
  <r>
    <x v="7"/>
    <x v="38"/>
    <x v="1"/>
    <x v="6"/>
    <d v="2026-04-10T15:39:00"/>
    <d v="2026-04-10T21:05:00"/>
    <x v="2"/>
    <n v="12247"/>
    <s v="VISCOLYCRA VORTEX MARINHO"/>
    <x v="1"/>
    <x v="0"/>
    <x v="2"/>
    <x v="17"/>
    <x v="12"/>
    <x v="17"/>
  </r>
  <r>
    <x v="0"/>
    <x v="39"/>
    <x v="1"/>
    <x v="2"/>
    <d v="2026-04-10T15:45:00"/>
    <d v="2026-04-10T23:31:00"/>
    <x v="8"/>
    <n v="1404"/>
    <s v="M/M 30/1 PV PETRÓLEO"/>
    <x v="0"/>
    <x v="2"/>
    <x v="2"/>
    <x v="17"/>
    <x v="12"/>
    <x v="17"/>
  </r>
  <r>
    <x v="8"/>
    <x v="40"/>
    <x v="1"/>
    <x v="8"/>
    <d v="2026-04-10T15:55:00"/>
    <d v="2026-04-10T21:57:00"/>
    <x v="9"/>
    <n v="606"/>
    <s v="RIBANA 2X1 24/1 PA PRETO"/>
    <x v="1"/>
    <x v="0"/>
    <x v="2"/>
    <x v="17"/>
    <x v="12"/>
    <x v="17"/>
  </r>
  <r>
    <x v="8"/>
    <x v="41"/>
    <x v="1"/>
    <x v="8"/>
    <d v="2026-04-10T15:55:00"/>
    <d v="2026-04-10T21:57:00"/>
    <x v="9"/>
    <n v="606"/>
    <s v="RIBANA 2X1 24/1 PA PRETO"/>
    <x v="1"/>
    <x v="0"/>
    <x v="2"/>
    <x v="17"/>
    <x v="12"/>
    <x v="17"/>
  </r>
  <r>
    <x v="0"/>
    <x v="42"/>
    <x v="1"/>
    <x v="4"/>
    <d v="2026-04-10T16:05:00"/>
    <d v="2026-04-10T19:05:00"/>
    <x v="5"/>
    <n v="2381"/>
    <s v="M/M 24/1 18 TRAMAS ROSA BEBÊ"/>
    <x v="0"/>
    <x v="2"/>
    <x v="2"/>
    <x v="17"/>
    <x v="12"/>
    <x v="17"/>
  </r>
  <r>
    <x v="0"/>
    <x v="43"/>
    <x v="1"/>
    <x v="10"/>
    <d v="2026-04-10T16:17:00"/>
    <d v="2026-04-10T19:17:00"/>
    <x v="5"/>
    <n v="404"/>
    <s v="M/M 24/1 18 TRAMAS SALMAO BEBÊ"/>
    <x v="0"/>
    <x v="2"/>
    <x v="2"/>
    <x v="17"/>
    <x v="12"/>
    <x v="17"/>
  </r>
  <r>
    <x v="0"/>
    <x v="44"/>
    <x v="1"/>
    <x v="7"/>
    <d v="2026-04-10T17:22:00"/>
    <d v="2026-04-10T22:38:00"/>
    <x v="2"/>
    <n v="17151"/>
    <s v="VISCOLYCRA VORTEX MARROM"/>
    <x v="0"/>
    <x v="2"/>
    <x v="2"/>
    <x v="17"/>
    <x v="12"/>
    <x v="17"/>
  </r>
  <r>
    <x v="0"/>
    <x v="45"/>
    <x v="1"/>
    <x v="3"/>
    <d v="2026-04-10T17:40:00"/>
    <d v="2026-04-10T22:56:00"/>
    <x v="2"/>
    <n v="17151"/>
    <s v="VISCOLYCRA VORTEX MARROM"/>
    <x v="0"/>
    <x v="2"/>
    <x v="2"/>
    <x v="17"/>
    <x v="12"/>
    <x v="17"/>
  </r>
  <r>
    <x v="0"/>
    <x v="46"/>
    <x v="1"/>
    <x v="9"/>
    <d v="2026-04-10T18:04:00"/>
    <d v="2026-04-10T21:22:00"/>
    <x v="7"/>
    <n v="208"/>
    <s v="M/M 30/1 PENTEADO BRANCO"/>
    <x v="0"/>
    <x v="2"/>
    <x v="2"/>
    <x v="17"/>
    <x v="12"/>
    <x v="17"/>
  </r>
  <r>
    <x v="0"/>
    <x v="47"/>
    <x v="1"/>
    <x v="0"/>
    <d v="2026-04-10T18:25:00"/>
    <d v="2026-04-10T23:36:00"/>
    <x v="2"/>
    <n v="15443"/>
    <s v="VISCOLYCRA VORTEX AMARELO OURO"/>
    <x v="0"/>
    <x v="2"/>
    <x v="2"/>
    <x v="17"/>
    <x v="12"/>
    <x v="17"/>
  </r>
  <r>
    <x v="0"/>
    <x v="48"/>
    <x v="1"/>
    <x v="5"/>
    <d v="2026-04-10T18:35:00"/>
    <d v="2026-04-10T23:51:00"/>
    <x v="2"/>
    <n v="12250"/>
    <s v="VISCOLYCRA VORTEX VINHO"/>
    <x v="0"/>
    <x v="2"/>
    <x v="2"/>
    <x v="17"/>
    <x v="12"/>
    <x v="17"/>
  </r>
  <r>
    <x v="0"/>
    <x v="49"/>
    <x v="1"/>
    <x v="4"/>
    <d v="2026-04-10T19:06:00"/>
    <d v="2026-04-10T22:06:00"/>
    <x v="5"/>
    <n v="2381"/>
    <s v="M/M 24/1 18 TRAMAS ROSA BEBÊ"/>
    <x v="0"/>
    <x v="2"/>
    <x v="2"/>
    <x v="17"/>
    <x v="12"/>
    <x v="17"/>
  </r>
  <r>
    <x v="0"/>
    <x v="50"/>
    <x v="1"/>
    <x v="10"/>
    <d v="2026-04-10T19:18:00"/>
    <d v="2026-04-10T22:18:00"/>
    <x v="5"/>
    <n v="404"/>
    <s v="M/M 24/1 18 TRAMAS SALMAO BEBÊ"/>
    <x v="0"/>
    <x v="2"/>
    <x v="2"/>
    <x v="17"/>
    <x v="12"/>
    <x v="17"/>
  </r>
  <r>
    <x v="0"/>
    <x v="51"/>
    <x v="1"/>
    <x v="1"/>
    <d v="2026-04-10T19:24:00"/>
    <d v="2026-04-11T01:32:00"/>
    <x v="10"/>
    <n v="12336"/>
    <s v="RIBANA 30/1 PV VERMELHO"/>
    <x v="0"/>
    <x v="2"/>
    <x v="2"/>
    <x v="17"/>
    <x v="12"/>
    <x v="17"/>
  </r>
  <r>
    <x v="9"/>
    <x v="52"/>
    <x v="1"/>
    <x v="6"/>
    <d v="2026-04-10T21:06:00"/>
    <d v="2026-04-11T01:51:00"/>
    <x v="2"/>
    <n v="11944"/>
    <s v="VISCOLYCRA VORTEX PRETO"/>
    <x v="0"/>
    <x v="2"/>
    <x v="2"/>
    <x v="17"/>
    <x v="12"/>
    <x v="17"/>
  </r>
  <r>
    <x v="9"/>
    <x v="53"/>
    <x v="1"/>
    <x v="6"/>
    <d v="2026-04-10T21:06:00"/>
    <d v="2026-04-11T01:51:00"/>
    <x v="2"/>
    <n v="11944"/>
    <s v="VISCOLYCRA VORTEX PRETO"/>
    <x v="0"/>
    <x v="2"/>
    <x v="2"/>
    <x v="17"/>
    <x v="12"/>
    <x v="17"/>
  </r>
  <r>
    <x v="0"/>
    <x v="54"/>
    <x v="1"/>
    <x v="9"/>
    <d v="2026-04-10T21:23:00"/>
    <d v="2026-04-11T00:41:00"/>
    <x v="7"/>
    <n v="208"/>
    <s v="M/M 30/1 PENTEADO BRANCO"/>
    <x v="0"/>
    <x v="2"/>
    <x v="2"/>
    <x v="17"/>
    <x v="12"/>
    <x v="17"/>
  </r>
  <r>
    <x v="10"/>
    <x v="55"/>
    <x v="1"/>
    <x v="8"/>
    <d v="2026-04-10T21:58:00"/>
    <d v="2026-04-11T03:24:00"/>
    <x v="2"/>
    <n v="12247"/>
    <s v="VISCOLYCRA VORTEX MARINHO"/>
    <x v="0"/>
    <x v="2"/>
    <x v="2"/>
    <x v="17"/>
    <x v="12"/>
    <x v="17"/>
  </r>
  <r>
    <x v="10"/>
    <x v="56"/>
    <x v="1"/>
    <x v="8"/>
    <d v="2026-04-10T21:58:00"/>
    <d v="2026-04-11T03:24:00"/>
    <x v="2"/>
    <n v="12247"/>
    <s v="VISCOLYCRA VORTEX MARINHO"/>
    <x v="0"/>
    <x v="2"/>
    <x v="2"/>
    <x v="17"/>
    <x v="12"/>
    <x v="17"/>
  </r>
  <r>
    <x v="0"/>
    <x v="57"/>
    <x v="1"/>
    <x v="4"/>
    <d v="2026-04-10T22:07:00"/>
    <d v="2026-04-11T01:07:00"/>
    <x v="5"/>
    <n v="2381"/>
    <s v="M/M 24/1 18 TRAMAS ROSA BEBÊ"/>
    <x v="0"/>
    <x v="2"/>
    <x v="2"/>
    <x v="17"/>
    <x v="12"/>
    <x v="17"/>
  </r>
  <r>
    <x v="0"/>
    <x v="58"/>
    <x v="1"/>
    <x v="10"/>
    <d v="2026-04-10T22:19:00"/>
    <d v="2026-04-11T01:19:00"/>
    <x v="5"/>
    <n v="354"/>
    <s v="M/M 24/1 18 TRAMAS AMARELO BEBÊ"/>
    <x v="0"/>
    <x v="2"/>
    <x v="2"/>
    <x v="17"/>
    <x v="12"/>
    <x v="17"/>
  </r>
  <r>
    <x v="0"/>
    <x v="59"/>
    <x v="1"/>
    <x v="7"/>
    <d v="2026-04-10T22:39:00"/>
    <d v="2026-04-11T03:55:00"/>
    <x v="2"/>
    <n v="17151"/>
    <s v="VISCOLYCRA VORTEX MARROM"/>
    <x v="1"/>
    <x v="3"/>
    <x v="2"/>
    <x v="17"/>
    <x v="12"/>
    <x v="17"/>
  </r>
  <r>
    <x v="0"/>
    <x v="60"/>
    <x v="1"/>
    <x v="3"/>
    <d v="2026-04-10T22:57:00"/>
    <d v="2026-04-11T04:13:00"/>
    <x v="2"/>
    <n v="17151"/>
    <s v="VISCOLYCRA VORTEX MARROM"/>
    <x v="1"/>
    <x v="3"/>
    <x v="2"/>
    <x v="17"/>
    <x v="12"/>
    <x v="17"/>
  </r>
  <r>
    <x v="0"/>
    <x v="61"/>
    <x v="1"/>
    <x v="2"/>
    <d v="2026-04-10T23:32:00"/>
    <d v="2026-04-11T05:33:00"/>
    <x v="7"/>
    <n v="1392"/>
    <s v="M/M 30/1 PENTEADO VERDE MILITAR"/>
    <x v="0"/>
    <x v="2"/>
    <x v="2"/>
    <x v="17"/>
    <x v="12"/>
    <x v="17"/>
  </r>
  <r>
    <x v="0"/>
    <x v="62"/>
    <x v="1"/>
    <x v="0"/>
    <d v="2026-04-10T23:37:00"/>
    <d v="2026-04-11T04:48:00"/>
    <x v="2"/>
    <n v="15443"/>
    <s v="VISCOLYCRA VORTEX AMARELO OURO"/>
    <x v="1"/>
    <x v="3"/>
    <x v="2"/>
    <x v="17"/>
    <x v="12"/>
    <x v="17"/>
  </r>
  <r>
    <x v="0"/>
    <x v="63"/>
    <x v="1"/>
    <x v="5"/>
    <d v="2026-04-10T23:52:00"/>
    <d v="2026-04-11T05:08:00"/>
    <x v="2"/>
    <n v="12250"/>
    <s v="VISCOLYCRA VORTEX VINHO"/>
    <x v="0"/>
    <x v="2"/>
    <x v="2"/>
    <x v="17"/>
    <x v="12"/>
    <x v="17"/>
  </r>
  <r>
    <x v="0"/>
    <x v="64"/>
    <x v="1"/>
    <x v="9"/>
    <d v="2026-04-11T00:42:00"/>
    <d v="2026-04-11T02:14:00"/>
    <x v="2"/>
    <n v="12246"/>
    <s v="VISCOLYCRA VORTEX MARFIM"/>
    <x v="1"/>
    <x v="3"/>
    <x v="2"/>
    <x v="17"/>
    <x v="12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70" firstHeaderRow="1" firstDataRow="1" firstDataCol="1" rowPageCount="1" colPageCount="1"/>
  <pivotFields count="15"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showAll="0" sortType="ascending" defaultSubtotal="0">
      <items count="65">
        <item x="0"/>
        <item x="1"/>
        <item x="2"/>
        <item x="3"/>
        <item x="4"/>
        <item x="5"/>
        <item x="7"/>
        <item x="6"/>
        <item x="9"/>
        <item x="8"/>
        <item x="11"/>
        <item x="10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x="25"/>
        <item x="27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3"/>
        <item x="52"/>
        <item x="54"/>
        <item x="56"/>
        <item x="55"/>
        <item x="57"/>
        <item x="58"/>
        <item x="59"/>
        <item x="60"/>
        <item x="61"/>
        <item x="62"/>
        <item x="63"/>
        <item x="6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1"/>
        <item x="9"/>
        <item x="2"/>
        <item x="5"/>
        <item x="7"/>
        <item x="3"/>
        <item x="10"/>
        <item x="4"/>
        <item x="8"/>
        <item x="0"/>
        <item x="6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67">
    <i>
      <x/>
    </i>
    <i r="1">
      <x/>
    </i>
    <i r="2">
      <x v="35"/>
    </i>
    <i r="2">
      <x v="51"/>
    </i>
    <i>
      <x v="1"/>
    </i>
    <i r="1">
      <x/>
    </i>
    <i r="2">
      <x v="25"/>
    </i>
    <i r="2">
      <x v="30"/>
    </i>
    <i r="2">
      <x v="36"/>
    </i>
    <i r="2">
      <x v="46"/>
    </i>
    <i r="2">
      <x v="54"/>
    </i>
    <i r="2">
      <x v="64"/>
    </i>
    <i>
      <x v="2"/>
    </i>
    <i r="1">
      <x/>
    </i>
    <i r="2">
      <x v="39"/>
    </i>
    <i r="2">
      <x v="61"/>
    </i>
    <i>
      <x v="3"/>
    </i>
    <i r="1">
      <x/>
    </i>
    <i r="2">
      <x v="34"/>
    </i>
    <i r="2">
      <x v="48"/>
    </i>
    <i r="2">
      <x v="63"/>
    </i>
    <i>
      <x v="4"/>
    </i>
    <i r="1">
      <x/>
    </i>
    <i r="2">
      <x v="44"/>
    </i>
    <i r="2">
      <x v="59"/>
    </i>
    <i>
      <x v="5"/>
    </i>
    <i r="1">
      <x/>
    </i>
    <i r="2">
      <x v="29"/>
    </i>
    <i r="2">
      <x v="45"/>
    </i>
    <i r="2">
      <x v="60"/>
    </i>
    <i>
      <x v="6"/>
    </i>
    <i r="1">
      <x/>
    </i>
    <i r="2">
      <x v="24"/>
    </i>
    <i r="2">
      <x v="33"/>
    </i>
    <i r="2">
      <x v="43"/>
    </i>
    <i r="2">
      <x v="50"/>
    </i>
    <i r="2">
      <x v="58"/>
    </i>
    <i>
      <x v="7"/>
    </i>
    <i r="1">
      <x/>
    </i>
    <i r="2">
      <x v="21"/>
    </i>
    <i r="2">
      <x v="31"/>
    </i>
    <i r="2">
      <x v="42"/>
    </i>
    <i r="2">
      <x v="49"/>
    </i>
    <i r="2">
      <x v="57"/>
    </i>
    <i>
      <x v="8"/>
    </i>
    <i r="1">
      <x v="6"/>
    </i>
    <i r="2">
      <x v="26"/>
    </i>
    <i r="2">
      <x v="27"/>
    </i>
    <i r="1">
      <x v="8"/>
    </i>
    <i r="2">
      <x v="40"/>
    </i>
    <i r="2">
      <x v="41"/>
    </i>
    <i r="1">
      <x v="10"/>
    </i>
    <i r="2">
      <x v="55"/>
    </i>
    <i r="2">
      <x v="56"/>
    </i>
    <i>
      <x v="9"/>
    </i>
    <i r="1">
      <x/>
    </i>
    <i r="2">
      <x v="32"/>
    </i>
    <i r="2">
      <x v="47"/>
    </i>
    <i r="2">
      <x v="62"/>
    </i>
    <i>
      <x v="10"/>
    </i>
    <i r="1">
      <x v="7"/>
    </i>
    <i r="2">
      <x v="37"/>
    </i>
    <i r="2">
      <x v="38"/>
    </i>
    <i r="1">
      <x v="9"/>
    </i>
    <i r="2">
      <x v="52"/>
    </i>
    <i r="2">
      <x v="53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FEFC0-B0B9-4254-B2DB-B45501369823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A8368CF-4E21-4AB6-A5A2-C80122793F74}" name="Para" dataDxfId="1" dataCellStyle="Hiperlink"/>
    <tableColumn id="2" xr3:uid="{E5DE5ECC-3884-4972-A605-ABA38C73F6EE}" name="Cóp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acacio.klann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AF1-A005-44D0-8545-181DFEA7B5B1}">
  <sheetPr codeName="Planilha2"/>
  <dimension ref="A1:B2"/>
  <sheetViews>
    <sheetView workbookViewId="0">
      <selection activeCell="B8" sqref="B8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s="7" t="s">
        <v>18</v>
      </c>
      <c r="B2" s="6"/>
    </row>
  </sheetData>
  <hyperlinks>
    <hyperlink ref="A2" r:id="rId1" xr:uid="{811EBA54-8D13-425A-801A-7A1CD827A3DA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70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173124</v>
      </c>
      <c r="B6" s="5">
        <v>46122.588194444441</v>
      </c>
    </row>
    <row r="7" spans="1:2" x14ac:dyDescent="0.25">
      <c r="A7" s="4">
        <v>172421</v>
      </c>
      <c r="B7" s="5">
        <v>46122.808333333334</v>
      </c>
    </row>
    <row r="8" spans="1:2" x14ac:dyDescent="0.25">
      <c r="A8" s="2" t="s">
        <v>6</v>
      </c>
      <c r="B8" s="5"/>
    </row>
    <row r="9" spans="1:2" x14ac:dyDescent="0.25">
      <c r="A9" s="3">
        <v>0</v>
      </c>
      <c r="B9" s="5"/>
    </row>
    <row r="10" spans="1:2" x14ac:dyDescent="0.25">
      <c r="A10" s="4">
        <v>172602</v>
      </c>
      <c r="B10" s="5">
        <v>46122.434027777781</v>
      </c>
    </row>
    <row r="11" spans="1:2" x14ac:dyDescent="0.25">
      <c r="A11" s="4">
        <v>172603</v>
      </c>
      <c r="B11" s="5">
        <v>46122.524305555555</v>
      </c>
    </row>
    <row r="12" spans="1:2" x14ac:dyDescent="0.25">
      <c r="A12" s="4">
        <v>172537</v>
      </c>
      <c r="B12" s="5">
        <v>46122.614583333336</v>
      </c>
    </row>
    <row r="13" spans="1:2" x14ac:dyDescent="0.25">
      <c r="A13" s="4">
        <v>172538</v>
      </c>
      <c r="B13" s="5">
        <v>46122.75277777778</v>
      </c>
    </row>
    <row r="14" spans="1:2" x14ac:dyDescent="0.25">
      <c r="A14" s="4">
        <v>172554</v>
      </c>
      <c r="B14" s="5">
        <v>46122.890972222223</v>
      </c>
    </row>
    <row r="15" spans="1:2" x14ac:dyDescent="0.25">
      <c r="A15" s="4">
        <v>173106</v>
      </c>
      <c r="B15" s="5">
        <v>46123.029166666667</v>
      </c>
    </row>
    <row r="16" spans="1:2" x14ac:dyDescent="0.25">
      <c r="A16" s="2" t="s">
        <v>10</v>
      </c>
      <c r="B16" s="5"/>
    </row>
    <row r="17" spans="1:2" x14ac:dyDescent="0.25">
      <c r="A17" s="3">
        <v>0</v>
      </c>
      <c r="B17" s="5"/>
    </row>
    <row r="18" spans="1:2" x14ac:dyDescent="0.25">
      <c r="A18" s="4">
        <v>172728</v>
      </c>
      <c r="B18" s="5">
        <v>46122.65625</v>
      </c>
    </row>
    <row r="19" spans="1:2" x14ac:dyDescent="0.25">
      <c r="A19" s="4">
        <v>173143</v>
      </c>
      <c r="B19" s="5">
        <v>46122.980555555558</v>
      </c>
    </row>
    <row r="20" spans="1:2" x14ac:dyDescent="0.25">
      <c r="A20" s="2" t="s">
        <v>11</v>
      </c>
      <c r="B20" s="5"/>
    </row>
    <row r="21" spans="1:2" x14ac:dyDescent="0.25">
      <c r="A21" s="3">
        <v>0</v>
      </c>
      <c r="B21" s="5"/>
    </row>
    <row r="22" spans="1:2" x14ac:dyDescent="0.25">
      <c r="A22" s="4">
        <v>173312</v>
      </c>
      <c r="B22" s="5">
        <v>46122.554166666669</v>
      </c>
    </row>
    <row r="23" spans="1:2" x14ac:dyDescent="0.25">
      <c r="A23" s="4">
        <v>173313</v>
      </c>
      <c r="B23" s="5">
        <v>46122.774305555555</v>
      </c>
    </row>
    <row r="24" spans="1:2" x14ac:dyDescent="0.25">
      <c r="A24" s="4">
        <v>173314</v>
      </c>
      <c r="B24" s="5">
        <v>46122.994444444441</v>
      </c>
    </row>
    <row r="25" spans="1:2" x14ac:dyDescent="0.25">
      <c r="A25" s="2" t="s">
        <v>7</v>
      </c>
      <c r="B25" s="5"/>
    </row>
    <row r="26" spans="1:2" x14ac:dyDescent="0.25">
      <c r="A26" s="3">
        <v>0</v>
      </c>
      <c r="B26" s="5"/>
    </row>
    <row r="27" spans="1:2" x14ac:dyDescent="0.25">
      <c r="A27" s="4">
        <v>173303</v>
      </c>
      <c r="B27" s="5">
        <v>46122.723611111112</v>
      </c>
    </row>
    <row r="28" spans="1:2" x14ac:dyDescent="0.25">
      <c r="A28" s="4">
        <v>173304</v>
      </c>
      <c r="B28" s="5">
        <v>46122.943749999999</v>
      </c>
    </row>
    <row r="29" spans="1:2" x14ac:dyDescent="0.25">
      <c r="A29" s="2" t="s">
        <v>12</v>
      </c>
      <c r="B29" s="5"/>
    </row>
    <row r="30" spans="1:2" x14ac:dyDescent="0.25">
      <c r="A30" s="3">
        <v>0</v>
      </c>
      <c r="B30" s="5"/>
    </row>
    <row r="31" spans="1:2" x14ac:dyDescent="0.25">
      <c r="A31" s="4">
        <v>173308</v>
      </c>
      <c r="B31" s="5">
        <v>46122.515972222223</v>
      </c>
    </row>
    <row r="32" spans="1:2" x14ac:dyDescent="0.25">
      <c r="A32" s="4">
        <v>173309</v>
      </c>
      <c r="B32" s="5">
        <v>46122.736111111109</v>
      </c>
    </row>
    <row r="33" spans="1:2" x14ac:dyDescent="0.25">
      <c r="A33" s="4">
        <v>173310</v>
      </c>
      <c r="B33" s="5">
        <v>46122.956250000003</v>
      </c>
    </row>
    <row r="34" spans="1:2" x14ac:dyDescent="0.25">
      <c r="A34" s="2" t="s">
        <v>13</v>
      </c>
      <c r="B34" s="5"/>
    </row>
    <row r="35" spans="1:2" x14ac:dyDescent="0.25">
      <c r="A35" s="3">
        <v>0</v>
      </c>
      <c r="B35" s="5"/>
    </row>
    <row r="36" spans="1:2" x14ac:dyDescent="0.25">
      <c r="A36" s="4">
        <v>173375</v>
      </c>
      <c r="B36" s="5">
        <v>46122.427083333336</v>
      </c>
    </row>
    <row r="37" spans="1:2" x14ac:dyDescent="0.25">
      <c r="A37" s="4">
        <v>173376</v>
      </c>
      <c r="B37" s="5">
        <v>46122.552777777775</v>
      </c>
    </row>
    <row r="38" spans="1:2" x14ac:dyDescent="0.25">
      <c r="A38" s="4">
        <v>173377</v>
      </c>
      <c r="B38" s="5">
        <v>46122.678472222222</v>
      </c>
    </row>
    <row r="39" spans="1:2" x14ac:dyDescent="0.25">
      <c r="A39" s="4">
        <v>173378</v>
      </c>
      <c r="B39" s="5">
        <v>46122.804166666669</v>
      </c>
    </row>
    <row r="40" spans="1:2" x14ac:dyDescent="0.25">
      <c r="A40" s="4">
        <v>173369</v>
      </c>
      <c r="B40" s="5">
        <v>46122.929861111108</v>
      </c>
    </row>
    <row r="41" spans="1:2" x14ac:dyDescent="0.25">
      <c r="A41" s="2" t="s">
        <v>15</v>
      </c>
      <c r="B41" s="5"/>
    </row>
    <row r="42" spans="1:2" x14ac:dyDescent="0.25">
      <c r="A42" s="3">
        <v>0</v>
      </c>
      <c r="B42" s="5"/>
    </row>
    <row r="43" spans="1:2" x14ac:dyDescent="0.25">
      <c r="A43" s="4">
        <v>172522</v>
      </c>
      <c r="B43" s="5">
        <v>46122.418055555558</v>
      </c>
    </row>
    <row r="44" spans="1:2" x14ac:dyDescent="0.25">
      <c r="A44" s="4">
        <v>173394</v>
      </c>
      <c r="B44" s="5">
        <v>46122.544444444444</v>
      </c>
    </row>
    <row r="45" spans="1:2" x14ac:dyDescent="0.25">
      <c r="A45" s="4">
        <v>173395</v>
      </c>
      <c r="B45" s="5">
        <v>46122.670138888891</v>
      </c>
    </row>
    <row r="46" spans="1:2" x14ac:dyDescent="0.25">
      <c r="A46" s="4">
        <v>173396</v>
      </c>
      <c r="B46" s="5">
        <v>46122.79583333333</v>
      </c>
    </row>
    <row r="47" spans="1:2" x14ac:dyDescent="0.25">
      <c r="A47" s="4">
        <v>173397</v>
      </c>
      <c r="B47" s="5">
        <v>46122.921527777777</v>
      </c>
    </row>
    <row r="48" spans="1:2" x14ac:dyDescent="0.25">
      <c r="A48" s="2" t="s">
        <v>8</v>
      </c>
      <c r="B48" s="5"/>
    </row>
    <row r="49" spans="1:2" x14ac:dyDescent="0.25">
      <c r="A49" s="3">
        <v>185796</v>
      </c>
      <c r="B49" s="5"/>
    </row>
    <row r="50" spans="1:2" x14ac:dyDescent="0.25">
      <c r="A50" s="4">
        <v>171883</v>
      </c>
      <c r="B50" s="5">
        <v>46122.464583333334</v>
      </c>
    </row>
    <row r="51" spans="1:2" x14ac:dyDescent="0.25">
      <c r="A51" s="4">
        <v>171882</v>
      </c>
      <c r="B51" s="5">
        <v>46122.464583333334</v>
      </c>
    </row>
    <row r="52" spans="1:2" x14ac:dyDescent="0.25">
      <c r="A52" s="3">
        <v>185726</v>
      </c>
      <c r="B52" s="5"/>
    </row>
    <row r="53" spans="1:2" x14ac:dyDescent="0.25">
      <c r="A53" s="4">
        <v>172592</v>
      </c>
      <c r="B53" s="5">
        <v>46122.663194444445</v>
      </c>
    </row>
    <row r="54" spans="1:2" x14ac:dyDescent="0.25">
      <c r="A54" s="4">
        <v>172591</v>
      </c>
      <c r="B54" s="5">
        <v>46122.663194444445</v>
      </c>
    </row>
    <row r="55" spans="1:2" x14ac:dyDescent="0.25">
      <c r="A55" s="3">
        <v>185819</v>
      </c>
      <c r="B55" s="5"/>
    </row>
    <row r="56" spans="1:2" x14ac:dyDescent="0.25">
      <c r="A56" s="4">
        <v>173116</v>
      </c>
      <c r="B56" s="5">
        <v>46122.915277777778</v>
      </c>
    </row>
    <row r="57" spans="1:2" x14ac:dyDescent="0.25">
      <c r="A57" s="4">
        <v>173115</v>
      </c>
      <c r="B57" s="5">
        <v>46122.915277777778</v>
      </c>
    </row>
    <row r="58" spans="1:2" x14ac:dyDescent="0.25">
      <c r="A58" s="2" t="s">
        <v>9</v>
      </c>
      <c r="B58" s="5"/>
    </row>
    <row r="59" spans="1:2" x14ac:dyDescent="0.25">
      <c r="A59" s="3">
        <v>0</v>
      </c>
      <c r="B59" s="5"/>
    </row>
    <row r="60" spans="1:2" x14ac:dyDescent="0.25">
      <c r="A60" s="4">
        <v>171805</v>
      </c>
      <c r="B60" s="5">
        <v>46122.550694444442</v>
      </c>
    </row>
    <row r="61" spans="1:2" x14ac:dyDescent="0.25">
      <c r="A61" s="4">
        <v>171892</v>
      </c>
      <c r="B61" s="5">
        <v>46122.767361111109</v>
      </c>
    </row>
    <row r="62" spans="1:2" x14ac:dyDescent="0.25">
      <c r="A62" s="4">
        <v>171893</v>
      </c>
      <c r="B62" s="5">
        <v>46122.984027777777</v>
      </c>
    </row>
    <row r="63" spans="1:2" x14ac:dyDescent="0.25">
      <c r="A63" s="2" t="s">
        <v>14</v>
      </c>
      <c r="B63" s="5"/>
    </row>
    <row r="64" spans="1:2" x14ac:dyDescent="0.25">
      <c r="A64" s="3">
        <v>185822</v>
      </c>
      <c r="B64" s="5"/>
    </row>
    <row r="65" spans="1:2" x14ac:dyDescent="0.25">
      <c r="A65" s="4">
        <v>173113</v>
      </c>
      <c r="B65" s="5">
        <v>46122.652083333334</v>
      </c>
    </row>
    <row r="66" spans="1:2" x14ac:dyDescent="0.25">
      <c r="A66" s="4">
        <v>173114</v>
      </c>
      <c r="B66" s="5">
        <v>46122.652083333334</v>
      </c>
    </row>
    <row r="67" spans="1:2" x14ac:dyDescent="0.25">
      <c r="A67" s="3">
        <v>185824</v>
      </c>
      <c r="B67" s="5"/>
    </row>
    <row r="68" spans="1:2" x14ac:dyDescent="0.25">
      <c r="A68" s="4">
        <v>173110</v>
      </c>
      <c r="B68" s="5">
        <v>46122.879166666666</v>
      </c>
    </row>
    <row r="69" spans="1:2" x14ac:dyDescent="0.25">
      <c r="A69" s="4">
        <v>173109</v>
      </c>
      <c r="B69" s="5">
        <v>46122.879166666666</v>
      </c>
    </row>
    <row r="70" spans="1:2" x14ac:dyDescent="0.25">
      <c r="A70" s="2" t="s">
        <v>1</v>
      </c>
      <c r="B70" s="5">
        <v>46122.418055555558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</vt:lpstr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2026-04-11T21:53:38Z</dcterms:modified>
</cp:coreProperties>
</file>