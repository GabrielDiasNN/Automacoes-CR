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46E5AE11-1E8D-44C4-8C09-DE6B38E83CDD}" xr6:coauthVersionLast="47" xr6:coauthVersionMax="47" xr10:uidLastSave="{00000000-0000-0000-0000-000000000000}"/>
  <bookViews>
    <workbookView xWindow="2250" yWindow="2250" windowWidth="28800" windowHeight="11385" xr2:uid="{E36E89AB-B6B3-4723-B386-2AC7DD1FA543}"/>
  </bookViews>
  <sheets>
    <sheet name="ControleReceitasEmitidas" sheetId="5" r:id="rId1"/>
  </sheets>
  <calcPr calcId="191029" iterate="1"/>
  <pivotCaches>
    <pivotCache cacheId="7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<sst xmlns="http://schemas.openxmlformats.org/spreadsheetml/2006/main" count="16" uniqueCount="16">
  <si>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</si>
  <si>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</si>
  <si>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</si>
  <si>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</si>
  <si>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</si>
  <si>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</si>
  <si>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</si>
  <si>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</si>
  <si>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MQ08</t>
  </si>
  <si>
    <t>MQ09</t>
  </si>
  <si>
    <t>MQ10</t>
  </si>
  <si>
    <t>MQ03</t>
  </si>
  <si>
    <t>MQ04</t>
  </si>
  <si>
    <t>MQ06</t>
  </si>
  <si>
    <t>MQ07</t>
  </si>
  <si>
    <t>MQ11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</si>
</sst>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08.473233101853" missingItemsLimit="0" createdVersion="7" refreshedVersion="7" minRefreshableVersion="3" recordCount="10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647" count="19">
        <n v="185618"/>
        <n v="0"/>
        <n v="185627"/>
        <n v="185455"/>
        <n v="185599"/>
        <n v="185531"/>
        <n v="185610"/>
        <n v="185539"/>
        <n v="185541"/>
        <n v="185583"/>
        <n v="185620"/>
        <n v="185538"/>
        <n v="185540"/>
        <n v="185625"/>
        <n v="185526"/>
        <n v="185647"/>
        <n v="185547"/>
        <n v="185611"/>
        <n v="185546"/>
      </sharedItems>
    </cacheField>
    <cacheField name="NUMERO_OB" numFmtId="0">
      <sharedItems containsSemiMixedTypes="0" containsString="0" containsNumber="1" containsInteger="1" minValue="170508" maxValue="172117" count="104">
        <n v="171320"/>
        <n v="171321"/>
        <n v="171189"/>
        <n v="171186"/>
        <n v="172079"/>
        <n v="172078"/>
        <n v="170655"/>
        <n v="170654"/>
        <n v="171316"/>
        <n v="171326"/>
        <n v="170510"/>
        <n v="171183"/>
        <n v="171312"/>
        <n v="171509"/>
        <n v="171458"/>
        <n v="171510"/>
        <n v="171330"/>
        <n v="171190"/>
        <n v="171191"/>
        <n v="170508"/>
        <n v="172110"/>
        <n v="171336"/>
        <n v="171356"/>
        <n v="171520"/>
        <n v="171519"/>
        <n v="171331"/>
        <n v="171319"/>
        <n v="171318"/>
        <n v="171322"/>
        <n v="170511"/>
        <n v="172111"/>
        <n v="172030"/>
        <n v="170512"/>
        <n v="171324"/>
        <n v="170714"/>
        <n v="171323"/>
        <n v="170715"/>
        <n v="170513"/>
        <n v="171327"/>
        <n v="171403"/>
        <n v="171343"/>
        <n v="171648"/>
        <n v="170685"/>
        <n v="172112"/>
        <n v="171649"/>
        <n v="171385"/>
        <n v="171771"/>
        <n v="171754"/>
        <n v="172113"/>
        <n v="171905"/>
        <n v="171906"/>
        <n v="171329"/>
        <n v="171404"/>
        <n v="171063"/>
        <n v="172114"/>
        <n v="171386"/>
        <n v="172115"/>
        <n v="171752"/>
        <n v="171407"/>
        <n v="171317"/>
        <n v="171314"/>
        <n v="171345"/>
        <n v="171344"/>
        <n v="171313"/>
        <n v="171387"/>
        <n v="171440"/>
        <n v="171441"/>
        <n v="171608"/>
        <n v="171750"/>
        <n v="171473"/>
        <n v="171354"/>
        <n v="171066"/>
        <n v="171065"/>
        <n v="171064"/>
        <n v="171456"/>
        <n v="172116"/>
        <n v="171401"/>
        <n v="171408"/>
        <n v="171409"/>
        <n v="172117"/>
        <n v="171067"/>
        <n v="171369"/>
        <n v="171549"/>
        <n v="171551"/>
        <n v="171337"/>
        <n v="171444"/>
        <n v="171342"/>
        <n v="171517"/>
        <n v="171518"/>
        <n v="171548"/>
        <n v="171552"/>
        <n v="171550"/>
        <n v="171753"/>
        <n v="171406"/>
        <n v="171808"/>
        <n v="171457"/>
        <n v="171060"/>
        <n v="171402"/>
        <n v="172061"/>
        <n v="170710"/>
        <n v="171338"/>
        <n v="171086"/>
        <n v="171405"/>
        <n v="172062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1"/>
        <s v="MQ06"/>
        <s v="MQ01"/>
        <s v="MQ09"/>
        <s v="MQ07"/>
        <s v="MQ02"/>
        <s v="MQ03"/>
        <s v="MQ10"/>
        <s v="MQ08"/>
        <s v="MQ05"/>
        <s v="MQ04"/>
      </sharedItems>
    </cacheField>
    <cacheField name="INICIO_TING" numFmtId="0">
      <sharedItems containsSemiMixedTypes="0" containsNonDate="0" containsDate="1" containsString="0" minDate="2026-03-27T03:06:00" maxDate="2026-03-28T21:49:00"/>
    </cacheField>
    <cacheField name="FINAL_TING" numFmtId="0">
      <sharedItems containsSemiMixedTypes="0" containsNonDate="0" containsDate="1" containsString="0" minDate="2026-03-27T10:13:00" maxDate="2026-03-29T02:59:00"/>
    </cacheField>
    <cacheField name="ARTIGO" numFmtId="0">
      <sharedItems count="17">
        <s v="00030     "/>
        <s v="00010     "/>
        <s v="00189     "/>
        <s v="00184     "/>
        <s v="00012     "/>
        <s v="00142     "/>
        <s v="00042     "/>
        <s v="00024     "/>
        <s v="00032     "/>
        <s v="00056     "/>
        <s v="00149     "/>
        <s v="00047     "/>
        <s v="00456     "/>
        <s v="00022     "/>
        <s v="00015     "/>
        <s v="00014     "/>
        <s v="00204     "/>
      </sharedItems>
    </cacheField>
    <cacheField name="REDUZIDO" numFmtId="0">
      <sharedItems containsSemiMixedTypes="0" containsString="0" containsNumber="1" containsInteger="1" minValue="25" maxValue="24401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5">
        <s v="GLEVID AVISAI  CEDEÑO  MOLINA"/>
        <s v="PETERSON ALEXANDRE FELIZARDO"/>
        <s v="FABIO ALEXANDRE SANTOS DAMASCE"/>
        <m/>
        <s v="JANILSON F. PACHECO"/>
      </sharedItems>
    </cacheField>
    <cacheField name="HORARIO_PESADO" numFmtId="0">
      <sharedItems containsNonDate="0" containsDate="1" containsString="0" containsBlank="1" minDate="2026-03-26T16:10:57" maxDate="2026-03-27T11:06:37" count="29">
        <d v="2026-03-26T16:10:57"/>
        <d v="2026-03-26T23:34:38"/>
        <d v="2026-03-26T23:43:54"/>
        <d v="2026-03-26T19:21:44"/>
        <d v="2026-03-27T01:03:24"/>
        <d v="2026-03-26T22:54:28"/>
        <d v="2026-03-27T02:57:02"/>
        <d v="2026-03-27T07:59:36"/>
        <d v="2026-03-27T07:26:31"/>
        <d v="2026-03-27T01:13:00"/>
        <d v="2026-03-26T22:38:56"/>
        <d v="2026-03-27T08:10:40"/>
        <d v="2026-03-27T08:13:07"/>
        <d v="2026-03-27T00:50:39"/>
        <m/>
        <d v="2026-03-27T08:08:35"/>
        <d v="2026-03-27T10:03:10"/>
        <d v="2026-03-27T02:51:12"/>
        <d v="2026-03-26T23:56:12"/>
        <d v="2026-03-27T08:16:09"/>
        <d v="2026-03-27T10:59:09"/>
        <d v="2026-03-27T07:56:52"/>
        <d v="2026-03-27T08:06:34"/>
        <d v="2026-03-27T11:06:37"/>
        <d v="2026-03-27T07:31:34"/>
        <d v="2026-03-27T09:56:55"/>
        <d v="2026-03-27T07:48:23"/>
        <d v="2026-03-27T10:30:02"/>
        <d v="2026-03-27T10:13:33"/>
      </sharedItems>
    </cacheField>
    <cacheField name="DIAS_PESADO" numFmtId="0">
      <sharedItems containsString="0" containsBlank="1" containsNumber="1" minValue="0.01" maxValue="0.8" count="20">
        <n v="0.8"/>
        <n v="0.49"/>
        <n v="0.48"/>
        <n v="0.67"/>
        <n v="0.43"/>
        <n v="0.52"/>
        <n v="0.35"/>
        <n v="0.14000000000000001"/>
        <n v="0.16"/>
        <n v="0.42"/>
        <n v="0.53"/>
        <n v="0.13"/>
        <n v="0.44"/>
        <m/>
        <n v="0.05"/>
        <n v="0.02"/>
        <n v="0.01"/>
        <n v="0.06"/>
        <n v="0.15"/>
        <n v="0.04"/>
      </sharedItems>
    </cacheField>
    <cacheField name="QUANT_PESADA" numFmtId="0">
      <sharedItems containsSemiMixedTypes="0" containsString="0" containsNumber="1" minValue="0" maxValue="371.38438000000002" count="29">
        <n v="63.701000000000001"/>
        <n v="21.37"/>
        <n v="17.2"/>
        <n v="50.819000000000003"/>
        <n v="4.9010400000000001"/>
        <n v="8.3040000000000003"/>
        <n v="74.424999999999997"/>
        <n v="3.3370000000000002"/>
        <n v="5.7634299999999996"/>
        <n v="13.401999999999999"/>
        <n v="27.24"/>
        <n v="1.5"/>
        <n v="3.1709999999999998"/>
        <n v="24.594000000000001"/>
        <n v="0"/>
        <n v="2.0990000000000002"/>
        <n v="371.38438000000002"/>
        <n v="75.043999999999997"/>
        <n v="39.631999999999998"/>
        <n v="3.169"/>
        <n v="63.354999999999997"/>
        <n v="3.4820000000000002"/>
        <n v="2.0880000000000001"/>
        <n v="1.3414299999999999"/>
        <n v="3.1349999999999998"/>
        <n v="42.389000000000003"/>
        <n v="20.569980000000001"/>
        <n v="24.936"/>
        <n v="13.595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d v="2026-03-27T03:06:00"/>
    <d v="2026-03-27T10:13:00"/>
    <x v="0"/>
    <n v="4334"/>
    <s v="M/M 30/1 CARDADA OE AMARELO OURO"/>
    <x v="0"/>
    <x v="0"/>
    <x v="0"/>
    <x v="0"/>
    <x v="0"/>
    <x v="0"/>
  </r>
  <r>
    <x v="0"/>
    <x v="1"/>
    <x v="0"/>
    <x v="0"/>
    <d v="2026-03-27T03:06:00"/>
    <d v="2026-03-27T10:13:00"/>
    <x v="0"/>
    <n v="4334"/>
    <s v="M/M 30/1 CARDADA OE AMARELO OURO"/>
    <x v="0"/>
    <x v="0"/>
    <x v="0"/>
    <x v="0"/>
    <x v="0"/>
    <x v="0"/>
  </r>
  <r>
    <x v="1"/>
    <x v="2"/>
    <x v="0"/>
    <x v="1"/>
    <d v="2026-03-27T05:38:00"/>
    <d v="2026-03-27T12:15:00"/>
    <x v="1"/>
    <n v="19734"/>
    <s v="RIBANA 30/1 OE VERDE ESPECIAL"/>
    <x v="0"/>
    <x v="0"/>
    <x v="1"/>
    <x v="1"/>
    <x v="1"/>
    <x v="1"/>
  </r>
  <r>
    <x v="1"/>
    <x v="3"/>
    <x v="0"/>
    <x v="2"/>
    <d v="2026-03-27T07:56:00"/>
    <d v="2026-03-27T13:22:00"/>
    <x v="2"/>
    <n v="12250"/>
    <s v="VISCOLYCRA VORTEX VINHO"/>
    <x v="0"/>
    <x v="0"/>
    <x v="1"/>
    <x v="2"/>
    <x v="2"/>
    <x v="2"/>
  </r>
  <r>
    <x v="2"/>
    <x v="4"/>
    <x v="0"/>
    <x v="3"/>
    <d v="2026-03-27T08:22:00"/>
    <d v="2026-03-27T13:51:00"/>
    <x v="3"/>
    <n v="2854"/>
    <s v="POLIÉSTER FIADO ROYAL"/>
    <x v="0"/>
    <x v="0"/>
    <x v="0"/>
    <x v="3"/>
    <x v="3"/>
    <x v="3"/>
  </r>
  <r>
    <x v="2"/>
    <x v="5"/>
    <x v="0"/>
    <x v="3"/>
    <d v="2026-03-27T08:22:00"/>
    <d v="2026-03-27T13:51:00"/>
    <x v="3"/>
    <n v="2854"/>
    <s v="POLIÉSTER FIADO ROYAL"/>
    <x v="0"/>
    <x v="0"/>
    <x v="0"/>
    <x v="3"/>
    <x v="3"/>
    <x v="3"/>
  </r>
  <r>
    <x v="3"/>
    <x v="6"/>
    <x v="0"/>
    <x v="4"/>
    <d v="2026-03-27T08:34:00"/>
    <d v="2026-03-27T16:30:00"/>
    <x v="4"/>
    <n v="16177"/>
    <s v="RIBANA 30/1 PV CINZA CLARO"/>
    <x v="0"/>
    <x v="0"/>
    <x v="1"/>
    <x v="4"/>
    <x v="4"/>
    <x v="4"/>
  </r>
  <r>
    <x v="3"/>
    <x v="7"/>
    <x v="0"/>
    <x v="4"/>
    <d v="2026-03-27T08:34:00"/>
    <d v="2026-03-27T16:30:00"/>
    <x v="4"/>
    <n v="16177"/>
    <s v="RIBANA 30/1 PV CINZA CLARO"/>
    <x v="0"/>
    <x v="0"/>
    <x v="1"/>
    <x v="4"/>
    <x v="4"/>
    <x v="4"/>
  </r>
  <r>
    <x v="1"/>
    <x v="8"/>
    <x v="0"/>
    <x v="5"/>
    <d v="2026-03-27T08:38:00"/>
    <d v="2026-03-27T12:06:00"/>
    <x v="0"/>
    <n v="206"/>
    <s v="M/M 30/1 CARDADA OE BRANCO"/>
    <x v="0"/>
    <x v="0"/>
    <x v="1"/>
    <x v="5"/>
    <x v="5"/>
    <x v="5"/>
  </r>
  <r>
    <x v="1"/>
    <x v="9"/>
    <x v="0"/>
    <x v="6"/>
    <d v="2026-03-27T09:43:00"/>
    <d v="2026-03-27T13:50:00"/>
    <x v="0"/>
    <n v="1807"/>
    <s v="M/M 30/1 CARDADA OE PRETO"/>
    <x v="0"/>
    <x v="0"/>
    <x v="1"/>
    <x v="6"/>
    <x v="6"/>
    <x v="6"/>
  </r>
  <r>
    <x v="1"/>
    <x v="10"/>
    <x v="0"/>
    <x v="7"/>
    <d v="2026-03-27T10:44:00"/>
    <d v="2026-03-27T12:44:00"/>
    <x v="3"/>
    <n v="1825"/>
    <s v="POLIÉSTER FIADO BRANCO"/>
    <x v="0"/>
    <x v="0"/>
    <x v="2"/>
    <x v="7"/>
    <x v="7"/>
    <x v="7"/>
  </r>
  <r>
    <x v="1"/>
    <x v="11"/>
    <x v="0"/>
    <x v="8"/>
    <d v="2026-03-27T10:50:00"/>
    <d v="2026-03-27T16:16:00"/>
    <x v="2"/>
    <n v="15515"/>
    <s v="VISCOLYCRA VORTEX CARAMELO"/>
    <x v="0"/>
    <x v="0"/>
    <x v="2"/>
    <x v="8"/>
    <x v="8"/>
    <x v="8"/>
  </r>
  <r>
    <x v="1"/>
    <x v="12"/>
    <x v="0"/>
    <x v="9"/>
    <d v="2026-03-27T11:00:00"/>
    <d v="2026-03-27T19:59:00"/>
    <x v="4"/>
    <n v="12303"/>
    <s v="RIBANA 30/1 PV ROYAL"/>
    <x v="0"/>
    <x v="0"/>
    <x v="1"/>
    <x v="9"/>
    <x v="9"/>
    <x v="9"/>
  </r>
  <r>
    <x v="4"/>
    <x v="13"/>
    <x v="0"/>
    <x v="0"/>
    <d v="2026-03-27T11:01:00"/>
    <d v="2026-03-27T14:24:00"/>
    <x v="3"/>
    <n v="3485"/>
    <s v="POLIÉSTER FIADO AMARELO CANÁRIO"/>
    <x v="0"/>
    <x v="1"/>
    <x v="1"/>
    <x v="10"/>
    <x v="10"/>
    <x v="10"/>
  </r>
  <r>
    <x v="1"/>
    <x v="14"/>
    <x v="0"/>
    <x v="10"/>
    <d v="2026-03-27T11:01:00"/>
    <d v="2026-03-27T13:05:00"/>
    <x v="5"/>
    <n v="1654"/>
    <s v="HELANQUINHA DRY FIT BRANCO"/>
    <x v="0"/>
    <x v="1"/>
    <x v="2"/>
    <x v="11"/>
    <x v="11"/>
    <x v="11"/>
  </r>
  <r>
    <x v="4"/>
    <x v="15"/>
    <x v="0"/>
    <x v="0"/>
    <d v="2026-03-27T11:01:00"/>
    <d v="2026-03-27T14:24:00"/>
    <x v="3"/>
    <n v="3485"/>
    <s v="POLIÉSTER FIADO AMARELO CANÁRIO"/>
    <x v="0"/>
    <x v="1"/>
    <x v="1"/>
    <x v="10"/>
    <x v="10"/>
    <x v="10"/>
  </r>
  <r>
    <x v="1"/>
    <x v="16"/>
    <x v="0"/>
    <x v="5"/>
    <d v="2026-03-27T12:07:00"/>
    <d v="2026-03-27T14:11:00"/>
    <x v="6"/>
    <n v="210"/>
    <s v="M/M 30/1 PV BRANCO 1F"/>
    <x v="0"/>
    <x v="1"/>
    <x v="2"/>
    <x v="12"/>
    <x v="11"/>
    <x v="12"/>
  </r>
  <r>
    <x v="5"/>
    <x v="17"/>
    <x v="0"/>
    <x v="1"/>
    <d v="2026-03-27T12:16:00"/>
    <d v="2026-03-27T18:43:00"/>
    <x v="1"/>
    <n v="19734"/>
    <s v="RIBANA 30/1 OE VERDE ESPECIAL"/>
    <x v="0"/>
    <x v="1"/>
    <x v="1"/>
    <x v="13"/>
    <x v="12"/>
    <x v="13"/>
  </r>
  <r>
    <x v="5"/>
    <x v="18"/>
    <x v="0"/>
    <x v="1"/>
    <d v="2026-03-27T12:16:00"/>
    <d v="2026-03-27T18:43:00"/>
    <x v="1"/>
    <n v="19734"/>
    <s v="RIBANA 30/1 OE VERDE ESPECIAL"/>
    <x v="0"/>
    <x v="1"/>
    <x v="1"/>
    <x v="13"/>
    <x v="12"/>
    <x v="13"/>
  </r>
  <r>
    <x v="1"/>
    <x v="19"/>
    <x v="1"/>
    <x v="7"/>
    <d v="2026-03-27T12:45:00"/>
    <d v="2026-03-27T14:25:00"/>
    <x v="3"/>
    <n v="1825"/>
    <s v="POLIÉSTER FIADO BRANCO"/>
    <x v="0"/>
    <x v="2"/>
    <x v="3"/>
    <x v="14"/>
    <x v="13"/>
    <x v="14"/>
  </r>
  <r>
    <x v="1"/>
    <x v="20"/>
    <x v="0"/>
    <x v="10"/>
    <d v="2026-03-27T13:06:00"/>
    <d v="2026-03-27T14:32:00"/>
    <x v="3"/>
    <n v="1825"/>
    <s v="POLIÉSTER FIADO BRANCO"/>
    <x v="0"/>
    <x v="1"/>
    <x v="2"/>
    <x v="15"/>
    <x v="11"/>
    <x v="15"/>
  </r>
  <r>
    <x v="1"/>
    <x v="21"/>
    <x v="0"/>
    <x v="2"/>
    <d v="2026-03-27T13:23:00"/>
    <d v="2026-03-27T22:12:00"/>
    <x v="6"/>
    <n v="1444"/>
    <s v="M/M 30/1 PV ROYAL"/>
    <x v="0"/>
    <x v="1"/>
    <x v="4"/>
    <x v="16"/>
    <x v="14"/>
    <x v="16"/>
  </r>
  <r>
    <x v="1"/>
    <x v="22"/>
    <x v="0"/>
    <x v="6"/>
    <d v="2026-03-27T13:51:00"/>
    <d v="2026-03-27T18:26:00"/>
    <x v="2"/>
    <n v="11944"/>
    <s v="VISCOLYCRA VORTEX PRETO"/>
    <x v="0"/>
    <x v="1"/>
    <x v="1"/>
    <x v="17"/>
    <x v="6"/>
    <x v="17"/>
  </r>
  <r>
    <x v="6"/>
    <x v="23"/>
    <x v="0"/>
    <x v="3"/>
    <d v="2026-03-27T13:52:00"/>
    <d v="2026-03-27T19:18:00"/>
    <x v="2"/>
    <n v="17151"/>
    <s v="VISCOLYCRA VORTEX MARROM"/>
    <x v="0"/>
    <x v="1"/>
    <x v="1"/>
    <x v="18"/>
    <x v="2"/>
    <x v="18"/>
  </r>
  <r>
    <x v="6"/>
    <x v="24"/>
    <x v="0"/>
    <x v="3"/>
    <d v="2026-03-27T13:52:00"/>
    <d v="2026-03-27T19:18:00"/>
    <x v="2"/>
    <n v="17151"/>
    <s v="VISCOLYCRA VORTEX MARROM"/>
    <x v="0"/>
    <x v="1"/>
    <x v="1"/>
    <x v="18"/>
    <x v="2"/>
    <x v="18"/>
  </r>
  <r>
    <x v="1"/>
    <x v="25"/>
    <x v="0"/>
    <x v="5"/>
    <d v="2026-03-27T14:12:00"/>
    <d v="2026-03-27T16:16:00"/>
    <x v="6"/>
    <n v="210"/>
    <s v="M/M 30/1 PV BRANCO 1F"/>
    <x v="0"/>
    <x v="2"/>
    <x v="2"/>
    <x v="19"/>
    <x v="11"/>
    <x v="19"/>
  </r>
  <r>
    <x v="7"/>
    <x v="26"/>
    <x v="0"/>
    <x v="0"/>
    <d v="2026-03-27T14:25:00"/>
    <d v="2026-03-27T21:12:00"/>
    <x v="0"/>
    <n v="4334"/>
    <s v="M/M 30/1 CARDADA OE AMARELO OURO"/>
    <x v="0"/>
    <x v="2"/>
    <x v="2"/>
    <x v="20"/>
    <x v="15"/>
    <x v="20"/>
  </r>
  <r>
    <x v="7"/>
    <x v="27"/>
    <x v="0"/>
    <x v="0"/>
    <d v="2026-03-27T14:25:00"/>
    <d v="2026-03-27T21:12:00"/>
    <x v="0"/>
    <n v="4334"/>
    <s v="M/M 30/1 CARDADA OE AMARELO OURO"/>
    <x v="0"/>
    <x v="2"/>
    <x v="2"/>
    <x v="20"/>
    <x v="15"/>
    <x v="20"/>
  </r>
  <r>
    <x v="7"/>
    <x v="28"/>
    <x v="0"/>
    <x v="0"/>
    <d v="2026-03-27T14:25:00"/>
    <d v="2026-03-27T21:12:00"/>
    <x v="0"/>
    <n v="4334"/>
    <s v="M/M 30/1 CARDADA OE AMARELO OURO"/>
    <x v="0"/>
    <x v="2"/>
    <x v="2"/>
    <x v="20"/>
    <x v="15"/>
    <x v="20"/>
  </r>
  <r>
    <x v="1"/>
    <x v="29"/>
    <x v="0"/>
    <x v="7"/>
    <d v="2026-03-27T14:26:00"/>
    <d v="2026-03-27T16:06:00"/>
    <x v="3"/>
    <n v="1825"/>
    <s v="POLIÉSTER FIADO BRANCO"/>
    <x v="0"/>
    <x v="1"/>
    <x v="2"/>
    <x v="21"/>
    <x v="7"/>
    <x v="21"/>
  </r>
  <r>
    <x v="1"/>
    <x v="30"/>
    <x v="0"/>
    <x v="10"/>
    <d v="2026-03-27T14:33:00"/>
    <d v="2026-03-27T15:59:00"/>
    <x v="3"/>
    <n v="1825"/>
    <s v="POLIÉSTER FIADO BRANCO"/>
    <x v="0"/>
    <x v="1"/>
    <x v="2"/>
    <x v="22"/>
    <x v="7"/>
    <x v="22"/>
  </r>
  <r>
    <x v="1"/>
    <x v="31"/>
    <x v="1"/>
    <x v="10"/>
    <d v="2026-03-27T16:00:00"/>
    <d v="2026-03-27T19:18:00"/>
    <x v="7"/>
    <n v="1651"/>
    <s v="M/M 24/1 18 TRAMAS BRANCO"/>
    <x v="0"/>
    <x v="2"/>
    <x v="3"/>
    <x v="14"/>
    <x v="13"/>
    <x v="14"/>
  </r>
  <r>
    <x v="1"/>
    <x v="32"/>
    <x v="1"/>
    <x v="7"/>
    <d v="2026-03-27T16:07:00"/>
    <d v="2026-03-27T17:47:00"/>
    <x v="3"/>
    <n v="1825"/>
    <s v="POLIÉSTER FIADO BRANCO"/>
    <x v="0"/>
    <x v="2"/>
    <x v="3"/>
    <x v="14"/>
    <x v="13"/>
    <x v="14"/>
  </r>
  <r>
    <x v="8"/>
    <x v="33"/>
    <x v="1"/>
    <x v="5"/>
    <d v="2026-03-27T16:17:00"/>
    <d v="2026-03-27T18:26:00"/>
    <x v="0"/>
    <n v="2426"/>
    <s v="M/M 30/1 CARDADA OE MARFIM"/>
    <x v="1"/>
    <x v="3"/>
    <x v="3"/>
    <x v="14"/>
    <x v="13"/>
    <x v="14"/>
  </r>
  <r>
    <x v="1"/>
    <x v="34"/>
    <x v="0"/>
    <x v="8"/>
    <d v="2026-03-27T16:17:00"/>
    <d v="2026-03-27T19:41:00"/>
    <x v="2"/>
    <n v="15518"/>
    <s v="VISCOLYCRA VORTEX CORAL"/>
    <x v="0"/>
    <x v="1"/>
    <x v="2"/>
    <x v="23"/>
    <x v="16"/>
    <x v="23"/>
  </r>
  <r>
    <x v="8"/>
    <x v="35"/>
    <x v="1"/>
    <x v="5"/>
    <d v="2026-03-27T16:17:00"/>
    <d v="2026-03-27T18:26:00"/>
    <x v="0"/>
    <n v="2426"/>
    <s v="M/M 30/1 CARDADA OE MARFIM"/>
    <x v="1"/>
    <x v="3"/>
    <x v="3"/>
    <x v="14"/>
    <x v="13"/>
    <x v="14"/>
  </r>
  <r>
    <x v="1"/>
    <x v="36"/>
    <x v="0"/>
    <x v="4"/>
    <d v="2026-03-27T16:31:00"/>
    <d v="2026-03-27T21:41:00"/>
    <x v="2"/>
    <n v="22635"/>
    <s v="VISCOLYCRA VORTEX PISTACHE"/>
    <x v="0"/>
    <x v="1"/>
    <x v="2"/>
    <x v="24"/>
    <x v="8"/>
    <x v="24"/>
  </r>
  <r>
    <x v="1"/>
    <x v="37"/>
    <x v="1"/>
    <x v="7"/>
    <d v="2026-03-27T17:48:00"/>
    <d v="2026-03-27T19:28:00"/>
    <x v="3"/>
    <n v="1825"/>
    <s v="POLIÉSTER FIADO BRANCO"/>
    <x v="0"/>
    <x v="2"/>
    <x v="3"/>
    <x v="14"/>
    <x v="13"/>
    <x v="14"/>
  </r>
  <r>
    <x v="1"/>
    <x v="38"/>
    <x v="0"/>
    <x v="6"/>
    <d v="2026-03-27T18:27:00"/>
    <d v="2026-03-28T00:28:00"/>
    <x v="0"/>
    <n v="3616"/>
    <s v="M/M 30/1 CARDADA OE MARINHO"/>
    <x v="0"/>
    <x v="1"/>
    <x v="2"/>
    <x v="25"/>
    <x v="17"/>
    <x v="25"/>
  </r>
  <r>
    <x v="1"/>
    <x v="39"/>
    <x v="1"/>
    <x v="5"/>
    <d v="2026-03-27T18:27:00"/>
    <d v="2026-03-27T21:45:00"/>
    <x v="7"/>
    <n v="1651"/>
    <s v="M/M 24/1 18 TRAMAS BRANCO"/>
    <x v="0"/>
    <x v="2"/>
    <x v="3"/>
    <x v="14"/>
    <x v="13"/>
    <x v="14"/>
  </r>
  <r>
    <x v="1"/>
    <x v="40"/>
    <x v="0"/>
    <x v="1"/>
    <d v="2026-03-27T18:44:00"/>
    <d v="2026-03-28T02:01:00"/>
    <x v="6"/>
    <n v="1464"/>
    <s v="M/M 30/1 PV TURQUESA"/>
    <x v="0"/>
    <x v="1"/>
    <x v="2"/>
    <x v="26"/>
    <x v="18"/>
    <x v="26"/>
  </r>
  <r>
    <x v="9"/>
    <x v="41"/>
    <x v="1"/>
    <x v="3"/>
    <d v="2026-03-27T19:19:00"/>
    <d v="2026-03-28T03:01:00"/>
    <x v="8"/>
    <n v="1442"/>
    <s v="M/M 30/1 PENTEADO ROYAL"/>
    <x v="0"/>
    <x v="2"/>
    <x v="3"/>
    <x v="14"/>
    <x v="13"/>
    <x v="14"/>
  </r>
  <r>
    <x v="9"/>
    <x v="42"/>
    <x v="1"/>
    <x v="3"/>
    <d v="2026-03-27T19:19:00"/>
    <d v="2026-03-28T03:01:00"/>
    <x v="8"/>
    <n v="1442"/>
    <s v="M/M 30/1 PENTEADO ROYAL"/>
    <x v="0"/>
    <x v="2"/>
    <x v="3"/>
    <x v="14"/>
    <x v="13"/>
    <x v="14"/>
  </r>
  <r>
    <x v="1"/>
    <x v="43"/>
    <x v="1"/>
    <x v="10"/>
    <d v="2026-03-27T19:19:00"/>
    <d v="2026-03-27T20:45:00"/>
    <x v="3"/>
    <n v="1825"/>
    <s v="POLIÉSTER FIADO BRANCO"/>
    <x v="0"/>
    <x v="2"/>
    <x v="3"/>
    <x v="14"/>
    <x v="13"/>
    <x v="14"/>
  </r>
  <r>
    <x v="9"/>
    <x v="44"/>
    <x v="1"/>
    <x v="3"/>
    <d v="2026-03-27T19:19:00"/>
    <d v="2026-03-28T03:01:00"/>
    <x v="8"/>
    <n v="1442"/>
    <s v="M/M 30/1 PENTEADO ROYAL"/>
    <x v="0"/>
    <x v="2"/>
    <x v="3"/>
    <x v="14"/>
    <x v="13"/>
    <x v="14"/>
  </r>
  <r>
    <x v="1"/>
    <x v="45"/>
    <x v="1"/>
    <x v="7"/>
    <d v="2026-03-27T19:29:00"/>
    <d v="2026-03-27T23:03:00"/>
    <x v="7"/>
    <n v="1651"/>
    <s v="M/M 24/1 18 TRAMAS BRANCO"/>
    <x v="0"/>
    <x v="2"/>
    <x v="3"/>
    <x v="14"/>
    <x v="13"/>
    <x v="14"/>
  </r>
  <r>
    <x v="1"/>
    <x v="46"/>
    <x v="1"/>
    <x v="8"/>
    <d v="2026-03-27T19:42:00"/>
    <d v="2026-03-28T03:43:00"/>
    <x v="9"/>
    <n v="21889"/>
    <s v="MOLETOM PA TUBULAR LARANJA"/>
    <x v="2"/>
    <x v="3"/>
    <x v="3"/>
    <x v="14"/>
    <x v="13"/>
    <x v="14"/>
  </r>
  <r>
    <x v="1"/>
    <x v="47"/>
    <x v="1"/>
    <x v="9"/>
    <d v="2026-03-27T20:00:00"/>
    <d v="2026-03-28T02:01:00"/>
    <x v="0"/>
    <n v="3303"/>
    <s v="M/M 30/1 CARDADA OE MARROM"/>
    <x v="1"/>
    <x v="3"/>
    <x v="3"/>
    <x v="14"/>
    <x v="13"/>
    <x v="14"/>
  </r>
  <r>
    <x v="1"/>
    <x v="48"/>
    <x v="1"/>
    <x v="10"/>
    <d v="2026-03-27T20:46:00"/>
    <d v="2026-03-27T22:12:00"/>
    <x v="3"/>
    <n v="1825"/>
    <s v="POLIÉSTER FIADO BRANCO"/>
    <x v="0"/>
    <x v="2"/>
    <x v="3"/>
    <x v="14"/>
    <x v="13"/>
    <x v="14"/>
  </r>
  <r>
    <x v="10"/>
    <x v="49"/>
    <x v="1"/>
    <x v="0"/>
    <d v="2026-03-27T21:13:00"/>
    <d v="2026-03-28T03:13:00"/>
    <x v="7"/>
    <n v="1409"/>
    <s v="M/M 24/1 18 TRAMAS AMARELO CANÁRIO"/>
    <x v="0"/>
    <x v="2"/>
    <x v="3"/>
    <x v="14"/>
    <x v="13"/>
    <x v="14"/>
  </r>
  <r>
    <x v="10"/>
    <x v="50"/>
    <x v="1"/>
    <x v="0"/>
    <d v="2026-03-27T21:13:00"/>
    <d v="2026-03-28T03:13:00"/>
    <x v="7"/>
    <n v="1409"/>
    <s v="M/M 24/1 18 TRAMAS AMARELO CANÁRIO"/>
    <x v="0"/>
    <x v="2"/>
    <x v="3"/>
    <x v="14"/>
    <x v="13"/>
    <x v="14"/>
  </r>
  <r>
    <x v="1"/>
    <x v="51"/>
    <x v="1"/>
    <x v="4"/>
    <d v="2026-03-27T21:42:00"/>
    <d v="2026-03-28T03:41:00"/>
    <x v="0"/>
    <n v="3887"/>
    <s v="M/M 30/1 CARDADA OE VERDE JADE"/>
    <x v="0"/>
    <x v="2"/>
    <x v="3"/>
    <x v="14"/>
    <x v="13"/>
    <x v="14"/>
  </r>
  <r>
    <x v="1"/>
    <x v="52"/>
    <x v="1"/>
    <x v="5"/>
    <d v="2026-03-27T21:46:00"/>
    <d v="2026-03-28T01:04:00"/>
    <x v="7"/>
    <n v="1651"/>
    <s v="M/M 24/1 18 TRAMAS BRANCO"/>
    <x v="0"/>
    <x v="2"/>
    <x v="3"/>
    <x v="14"/>
    <x v="13"/>
    <x v="14"/>
  </r>
  <r>
    <x v="1"/>
    <x v="53"/>
    <x v="0"/>
    <x v="2"/>
    <d v="2026-03-27T22:13:00"/>
    <d v="2026-03-28T05:34:00"/>
    <x v="9"/>
    <n v="14981"/>
    <s v="MOLETOM PA TUBULAR MARROM"/>
    <x v="2"/>
    <x v="3"/>
    <x v="2"/>
    <x v="27"/>
    <x v="19"/>
    <x v="27"/>
  </r>
  <r>
    <x v="1"/>
    <x v="54"/>
    <x v="1"/>
    <x v="10"/>
    <d v="2026-03-27T22:13:00"/>
    <d v="2026-03-27T23:39:00"/>
    <x v="3"/>
    <n v="1825"/>
    <s v="POLIÉSTER FIADO BRANCO"/>
    <x v="0"/>
    <x v="2"/>
    <x v="3"/>
    <x v="14"/>
    <x v="13"/>
    <x v="14"/>
  </r>
  <r>
    <x v="1"/>
    <x v="55"/>
    <x v="1"/>
    <x v="7"/>
    <d v="2026-03-27T23:04:00"/>
    <d v="2026-03-28T02:38:00"/>
    <x v="7"/>
    <n v="1651"/>
    <s v="M/M 24/1 18 TRAMAS BRANCO"/>
    <x v="0"/>
    <x v="2"/>
    <x v="3"/>
    <x v="14"/>
    <x v="13"/>
    <x v="14"/>
  </r>
  <r>
    <x v="1"/>
    <x v="56"/>
    <x v="1"/>
    <x v="10"/>
    <d v="2026-03-27T23:40:00"/>
    <d v="2026-03-28T01:06:00"/>
    <x v="3"/>
    <n v="1825"/>
    <s v="POLIÉSTER FIADO BRANCO"/>
    <x v="1"/>
    <x v="3"/>
    <x v="3"/>
    <x v="14"/>
    <x v="13"/>
    <x v="14"/>
  </r>
  <r>
    <x v="1"/>
    <x v="57"/>
    <x v="1"/>
    <x v="6"/>
    <d v="2026-03-28T00:29:00"/>
    <d v="2026-03-28T04:26:00"/>
    <x v="0"/>
    <n v="1807"/>
    <s v="M/M 30/1 CARDADA OE PRETO"/>
    <x v="0"/>
    <x v="2"/>
    <x v="3"/>
    <x v="14"/>
    <x v="13"/>
    <x v="14"/>
  </r>
  <r>
    <x v="1"/>
    <x v="58"/>
    <x v="1"/>
    <x v="5"/>
    <d v="2026-03-28T01:05:00"/>
    <d v="2026-03-28T04:23:00"/>
    <x v="7"/>
    <n v="1651"/>
    <s v="M/M 24/1 18 TRAMAS BRANCO"/>
    <x v="0"/>
    <x v="2"/>
    <x v="3"/>
    <x v="14"/>
    <x v="13"/>
    <x v="14"/>
  </r>
  <r>
    <x v="1"/>
    <x v="59"/>
    <x v="1"/>
    <x v="10"/>
    <d v="2026-03-28T01:07:00"/>
    <d v="2026-03-28T04:25:00"/>
    <x v="0"/>
    <n v="206"/>
    <s v="M/M 30/1 CARDADA OE BRANCO"/>
    <x v="1"/>
    <x v="0"/>
    <x v="3"/>
    <x v="14"/>
    <x v="13"/>
    <x v="14"/>
  </r>
  <r>
    <x v="11"/>
    <x v="60"/>
    <x v="0"/>
    <x v="9"/>
    <d v="2026-03-28T02:02:00"/>
    <d v="2026-03-28T11:10:00"/>
    <x v="4"/>
    <n v="12303"/>
    <s v="RIBANA 30/1 PV ROYAL"/>
    <x v="0"/>
    <x v="1"/>
    <x v="2"/>
    <x v="28"/>
    <x v="14"/>
    <x v="28"/>
  </r>
  <r>
    <x v="12"/>
    <x v="61"/>
    <x v="1"/>
    <x v="1"/>
    <d v="2026-03-28T02:02:00"/>
    <d v="2026-03-28T09:19:00"/>
    <x v="6"/>
    <n v="1464"/>
    <s v="M/M 30/1 PV TURQUESA"/>
    <x v="0"/>
    <x v="2"/>
    <x v="3"/>
    <x v="14"/>
    <x v="13"/>
    <x v="14"/>
  </r>
  <r>
    <x v="12"/>
    <x v="62"/>
    <x v="1"/>
    <x v="1"/>
    <d v="2026-03-28T02:02:00"/>
    <d v="2026-03-28T09:19:00"/>
    <x v="6"/>
    <n v="1464"/>
    <s v="M/M 30/1 PV TURQUESA"/>
    <x v="0"/>
    <x v="2"/>
    <x v="3"/>
    <x v="14"/>
    <x v="13"/>
    <x v="14"/>
  </r>
  <r>
    <x v="11"/>
    <x v="63"/>
    <x v="0"/>
    <x v="9"/>
    <d v="2026-03-28T02:02:00"/>
    <d v="2026-03-28T11:10:00"/>
    <x v="4"/>
    <n v="12303"/>
    <s v="RIBANA 30/1 PV ROYAL"/>
    <x v="0"/>
    <x v="1"/>
    <x v="2"/>
    <x v="28"/>
    <x v="14"/>
    <x v="28"/>
  </r>
  <r>
    <x v="1"/>
    <x v="64"/>
    <x v="1"/>
    <x v="7"/>
    <d v="2026-03-28T02:39:00"/>
    <d v="2026-03-28T06:13:00"/>
    <x v="7"/>
    <n v="1651"/>
    <s v="M/M 24/1 18 TRAMAS BRANCO"/>
    <x v="0"/>
    <x v="2"/>
    <x v="3"/>
    <x v="14"/>
    <x v="13"/>
    <x v="14"/>
  </r>
  <r>
    <x v="13"/>
    <x v="65"/>
    <x v="1"/>
    <x v="3"/>
    <d v="2026-03-28T03:02:00"/>
    <d v="2026-03-28T10:44:00"/>
    <x v="8"/>
    <n v="1442"/>
    <s v="M/M 30/1 PENTEADO ROYAL"/>
    <x v="0"/>
    <x v="2"/>
    <x v="3"/>
    <x v="14"/>
    <x v="13"/>
    <x v="14"/>
  </r>
  <r>
    <x v="13"/>
    <x v="66"/>
    <x v="1"/>
    <x v="3"/>
    <d v="2026-03-28T03:02:00"/>
    <d v="2026-03-28T10:44:00"/>
    <x v="8"/>
    <n v="1442"/>
    <s v="M/M 30/1 PENTEADO ROYAL"/>
    <x v="0"/>
    <x v="2"/>
    <x v="3"/>
    <x v="14"/>
    <x v="13"/>
    <x v="14"/>
  </r>
  <r>
    <x v="1"/>
    <x v="67"/>
    <x v="1"/>
    <x v="4"/>
    <d v="2026-03-28T03:42:00"/>
    <d v="2026-03-28T10:38:00"/>
    <x v="10"/>
    <n v="24401"/>
    <s v="HELANCA SUEDINE 100%CO PETRÓLEO"/>
    <x v="0"/>
    <x v="2"/>
    <x v="3"/>
    <x v="14"/>
    <x v="13"/>
    <x v="14"/>
  </r>
  <r>
    <x v="1"/>
    <x v="68"/>
    <x v="1"/>
    <x v="8"/>
    <d v="2026-03-28T03:44:00"/>
    <d v="2026-03-28T10:51:00"/>
    <x v="0"/>
    <n v="10554"/>
    <s v="M/M 30/1 CARDADA OE CARAMELO"/>
    <x v="1"/>
    <x v="3"/>
    <x v="3"/>
    <x v="14"/>
    <x v="13"/>
    <x v="14"/>
  </r>
  <r>
    <x v="1"/>
    <x v="69"/>
    <x v="1"/>
    <x v="5"/>
    <d v="2026-03-28T04:24:00"/>
    <d v="2026-03-28T05:50:00"/>
    <x v="3"/>
    <n v="1825"/>
    <s v="POLIÉSTER FIADO BRANCO"/>
    <x v="1"/>
    <x v="0"/>
    <x v="3"/>
    <x v="14"/>
    <x v="13"/>
    <x v="14"/>
  </r>
  <r>
    <x v="1"/>
    <x v="70"/>
    <x v="1"/>
    <x v="10"/>
    <d v="2026-03-28T04:26:00"/>
    <d v="2026-03-28T05:52:00"/>
    <x v="3"/>
    <n v="1825"/>
    <s v="POLIÉSTER FIADO BRANCO"/>
    <x v="1"/>
    <x v="3"/>
    <x v="3"/>
    <x v="14"/>
    <x v="13"/>
    <x v="14"/>
  </r>
  <r>
    <x v="14"/>
    <x v="71"/>
    <x v="1"/>
    <x v="2"/>
    <d v="2026-03-28T05:35:00"/>
    <d v="2026-03-28T12:56:00"/>
    <x v="9"/>
    <n v="14981"/>
    <s v="MOLETOM PA TUBULAR MARROM"/>
    <x v="1"/>
    <x v="3"/>
    <x v="3"/>
    <x v="14"/>
    <x v="13"/>
    <x v="14"/>
  </r>
  <r>
    <x v="14"/>
    <x v="72"/>
    <x v="1"/>
    <x v="2"/>
    <d v="2026-03-28T05:35:00"/>
    <d v="2026-03-28T12:56:00"/>
    <x v="9"/>
    <n v="14981"/>
    <s v="MOLETOM PA TUBULAR MARROM"/>
    <x v="1"/>
    <x v="3"/>
    <x v="3"/>
    <x v="14"/>
    <x v="13"/>
    <x v="14"/>
  </r>
  <r>
    <x v="14"/>
    <x v="73"/>
    <x v="1"/>
    <x v="2"/>
    <d v="2026-03-28T05:35:00"/>
    <d v="2026-03-28T12:56:00"/>
    <x v="9"/>
    <n v="14981"/>
    <s v="MOLETOM PA TUBULAR MARROM"/>
    <x v="1"/>
    <x v="3"/>
    <x v="3"/>
    <x v="14"/>
    <x v="13"/>
    <x v="14"/>
  </r>
  <r>
    <x v="1"/>
    <x v="74"/>
    <x v="1"/>
    <x v="5"/>
    <d v="2026-03-28T05:51:00"/>
    <d v="2026-03-28T13:04:00"/>
    <x v="11"/>
    <n v="5506"/>
    <s v="COTTON 6% OE RAMADO CAQUI"/>
    <x v="0"/>
    <x v="2"/>
    <x v="3"/>
    <x v="14"/>
    <x v="13"/>
    <x v="14"/>
  </r>
  <r>
    <x v="1"/>
    <x v="75"/>
    <x v="1"/>
    <x v="10"/>
    <d v="2026-03-28T05:53:00"/>
    <d v="2026-03-28T07:19:00"/>
    <x v="3"/>
    <n v="1825"/>
    <s v="POLIÉSTER FIADO BRANCO"/>
    <x v="1"/>
    <x v="3"/>
    <x v="3"/>
    <x v="14"/>
    <x v="13"/>
    <x v="14"/>
  </r>
  <r>
    <x v="1"/>
    <x v="76"/>
    <x v="1"/>
    <x v="7"/>
    <d v="2026-03-28T06:14:00"/>
    <d v="2026-03-28T09:48:00"/>
    <x v="7"/>
    <n v="1651"/>
    <s v="M/M 24/1 18 TRAMAS BRANCO"/>
    <x v="0"/>
    <x v="2"/>
    <x v="3"/>
    <x v="14"/>
    <x v="13"/>
    <x v="14"/>
  </r>
  <r>
    <x v="15"/>
    <x v="77"/>
    <x v="1"/>
    <x v="0"/>
    <d v="2026-03-28T06:20:00"/>
    <d v="2026-03-28T08:39:00"/>
    <x v="7"/>
    <n v="254"/>
    <s v="M/M 24/1 18 TRAMAS MARFIM"/>
    <x v="0"/>
    <x v="2"/>
    <x v="3"/>
    <x v="14"/>
    <x v="13"/>
    <x v="14"/>
  </r>
  <r>
    <x v="15"/>
    <x v="78"/>
    <x v="1"/>
    <x v="0"/>
    <d v="2026-03-28T06:20:00"/>
    <d v="2026-03-28T08:39:00"/>
    <x v="7"/>
    <n v="254"/>
    <s v="M/M 24/1 18 TRAMAS MARFIM"/>
    <x v="0"/>
    <x v="2"/>
    <x v="3"/>
    <x v="14"/>
    <x v="13"/>
    <x v="14"/>
  </r>
  <r>
    <x v="1"/>
    <x v="79"/>
    <x v="1"/>
    <x v="10"/>
    <d v="2026-03-28T07:20:00"/>
    <d v="2026-03-28T08:46:00"/>
    <x v="3"/>
    <n v="1825"/>
    <s v="POLIÉSTER FIADO BRANCO"/>
    <x v="1"/>
    <x v="3"/>
    <x v="3"/>
    <x v="14"/>
    <x v="13"/>
    <x v="14"/>
  </r>
  <r>
    <x v="1"/>
    <x v="80"/>
    <x v="1"/>
    <x v="6"/>
    <d v="2026-03-28T07:23:00"/>
    <d v="2026-03-28T08:46:00"/>
    <x v="12"/>
    <n v="14539"/>
    <s v="MOLETOM MESCLA PA TUBULAR"/>
    <x v="2"/>
    <x v="3"/>
    <x v="3"/>
    <x v="14"/>
    <x v="13"/>
    <x v="14"/>
  </r>
  <r>
    <x v="1"/>
    <x v="81"/>
    <x v="1"/>
    <x v="10"/>
    <d v="2026-03-28T08:47:00"/>
    <d v="2026-03-28T12:05:00"/>
    <x v="13"/>
    <n v="25"/>
    <s v="M/M 24/1 14 TRAMAS BRANCO"/>
    <x v="1"/>
    <x v="3"/>
    <x v="3"/>
    <x v="14"/>
    <x v="13"/>
    <x v="14"/>
  </r>
  <r>
    <x v="16"/>
    <x v="82"/>
    <x v="1"/>
    <x v="6"/>
    <d v="2026-03-28T08:47:00"/>
    <d v="2026-03-28T10:56:00"/>
    <x v="8"/>
    <n v="258"/>
    <s v="M/M 30/1 PENTEADO MARFIM"/>
    <x v="0"/>
    <x v="2"/>
    <x v="3"/>
    <x v="14"/>
    <x v="13"/>
    <x v="14"/>
  </r>
  <r>
    <x v="16"/>
    <x v="83"/>
    <x v="1"/>
    <x v="6"/>
    <d v="2026-03-28T08:47:00"/>
    <d v="2026-03-28T10:56:00"/>
    <x v="1"/>
    <n v="10915"/>
    <s v="RIBANA 30/1 OE MARFIM"/>
    <x v="0"/>
    <x v="2"/>
    <x v="3"/>
    <x v="14"/>
    <x v="13"/>
    <x v="14"/>
  </r>
  <r>
    <x v="1"/>
    <x v="84"/>
    <x v="1"/>
    <x v="1"/>
    <d v="2026-03-28T09:20:00"/>
    <d v="2026-03-28T18:09:00"/>
    <x v="6"/>
    <n v="1444"/>
    <s v="M/M 30/1 PV ROYAL"/>
    <x v="1"/>
    <x v="3"/>
    <x v="3"/>
    <x v="14"/>
    <x v="13"/>
    <x v="14"/>
  </r>
  <r>
    <x v="1"/>
    <x v="85"/>
    <x v="1"/>
    <x v="7"/>
    <d v="2026-03-28T09:49:00"/>
    <d v="2026-03-28T12:27:00"/>
    <x v="6"/>
    <n v="1618"/>
    <s v="M/M 30/1 PV MARFIM 1F"/>
    <x v="0"/>
    <x v="2"/>
    <x v="3"/>
    <x v="14"/>
    <x v="13"/>
    <x v="14"/>
  </r>
  <r>
    <x v="1"/>
    <x v="86"/>
    <x v="1"/>
    <x v="4"/>
    <d v="2026-03-28T10:39:00"/>
    <d v="2026-03-28T18:25:00"/>
    <x v="6"/>
    <n v="1404"/>
    <s v="M/M 30/1 PV PETRÓLEO"/>
    <x v="1"/>
    <x v="3"/>
    <x v="3"/>
    <x v="14"/>
    <x v="13"/>
    <x v="14"/>
  </r>
  <r>
    <x v="17"/>
    <x v="87"/>
    <x v="1"/>
    <x v="3"/>
    <d v="2026-03-28T10:45:00"/>
    <d v="2026-03-28T16:11:00"/>
    <x v="2"/>
    <n v="12250"/>
    <s v="VISCOLYCRA VORTEX VINHO"/>
    <x v="0"/>
    <x v="2"/>
    <x v="3"/>
    <x v="14"/>
    <x v="13"/>
    <x v="14"/>
  </r>
  <r>
    <x v="17"/>
    <x v="88"/>
    <x v="1"/>
    <x v="3"/>
    <d v="2026-03-28T10:45:00"/>
    <d v="2026-03-28T16:11:00"/>
    <x v="2"/>
    <n v="12250"/>
    <s v="VISCOLYCRA VORTEX VINHO"/>
    <x v="0"/>
    <x v="2"/>
    <x v="3"/>
    <x v="14"/>
    <x v="13"/>
    <x v="14"/>
  </r>
  <r>
    <x v="1"/>
    <x v="89"/>
    <x v="1"/>
    <x v="8"/>
    <d v="2026-03-28T10:52:00"/>
    <d v="2026-03-28T13:01:00"/>
    <x v="8"/>
    <n v="258"/>
    <s v="M/M 30/1 PENTEADO MARFIM"/>
    <x v="1"/>
    <x v="3"/>
    <x v="3"/>
    <x v="14"/>
    <x v="13"/>
    <x v="14"/>
  </r>
  <r>
    <x v="18"/>
    <x v="90"/>
    <x v="1"/>
    <x v="6"/>
    <d v="2026-03-28T10:57:00"/>
    <d v="2026-03-28T13:06:00"/>
    <x v="14"/>
    <n v="22637"/>
    <s v="RIBANA 2X1 24/1 OE MARFIM"/>
    <x v="0"/>
    <x v="2"/>
    <x v="3"/>
    <x v="14"/>
    <x v="13"/>
    <x v="14"/>
  </r>
  <r>
    <x v="18"/>
    <x v="91"/>
    <x v="1"/>
    <x v="6"/>
    <d v="2026-03-28T10:57:00"/>
    <d v="2026-03-28T13:06:00"/>
    <x v="8"/>
    <n v="258"/>
    <s v="M/M 30/1 PENTEADO MARFIM"/>
    <x v="0"/>
    <x v="2"/>
    <x v="3"/>
    <x v="14"/>
    <x v="13"/>
    <x v="14"/>
  </r>
  <r>
    <x v="1"/>
    <x v="92"/>
    <x v="1"/>
    <x v="9"/>
    <d v="2026-03-28T11:11:00"/>
    <d v="2026-03-28T17:12:00"/>
    <x v="0"/>
    <n v="3616"/>
    <s v="M/M 30/1 CARDADA OE MARINHO"/>
    <x v="0"/>
    <x v="2"/>
    <x v="3"/>
    <x v="14"/>
    <x v="13"/>
    <x v="14"/>
  </r>
  <r>
    <x v="1"/>
    <x v="93"/>
    <x v="1"/>
    <x v="7"/>
    <d v="2026-03-28T12:28:00"/>
    <d v="2026-03-28T16:02:00"/>
    <x v="7"/>
    <n v="1651"/>
    <s v="M/M 24/1 18 TRAMAS BRANCO"/>
    <x v="1"/>
    <x v="0"/>
    <x v="3"/>
    <x v="14"/>
    <x v="13"/>
    <x v="14"/>
  </r>
  <r>
    <x v="1"/>
    <x v="94"/>
    <x v="1"/>
    <x v="2"/>
    <d v="2026-03-28T12:57:00"/>
    <d v="2026-03-28T19:16:00"/>
    <x v="15"/>
    <n v="746"/>
    <s v="RIBANA 2X1 24/1 PA VINHO"/>
    <x v="1"/>
    <x v="3"/>
    <x v="3"/>
    <x v="14"/>
    <x v="13"/>
    <x v="14"/>
  </r>
  <r>
    <x v="1"/>
    <x v="95"/>
    <x v="1"/>
    <x v="5"/>
    <d v="2026-03-28T13:05:00"/>
    <d v="2026-03-28T17:43:00"/>
    <x v="11"/>
    <n v="5500"/>
    <s v="COTTON 6% OE RAMADO LILÁS CLARO"/>
    <x v="1"/>
    <x v="3"/>
    <x v="3"/>
    <x v="14"/>
    <x v="13"/>
    <x v="14"/>
  </r>
  <r>
    <x v="1"/>
    <x v="96"/>
    <x v="1"/>
    <x v="6"/>
    <d v="2026-03-28T13:07:00"/>
    <d v="2026-03-28T18:22:00"/>
    <x v="9"/>
    <n v="21446"/>
    <s v="MOLETOM PA TUBULAR CAQUI"/>
    <x v="1"/>
    <x v="3"/>
    <x v="3"/>
    <x v="14"/>
    <x v="13"/>
    <x v="14"/>
  </r>
  <r>
    <x v="1"/>
    <x v="97"/>
    <x v="1"/>
    <x v="7"/>
    <d v="2026-03-28T16:03:00"/>
    <d v="2026-03-28T19:37:00"/>
    <x v="7"/>
    <n v="1651"/>
    <s v="M/M 24/1 18 TRAMAS BRANCO"/>
    <x v="1"/>
    <x v="3"/>
    <x v="3"/>
    <x v="14"/>
    <x v="13"/>
    <x v="14"/>
  </r>
  <r>
    <x v="1"/>
    <x v="98"/>
    <x v="1"/>
    <x v="9"/>
    <d v="2026-03-28T17:13:00"/>
    <d v="2026-03-28T21:48:00"/>
    <x v="2"/>
    <n v="11944"/>
    <s v="VISCOLYCRA VORTEX PRETO"/>
    <x v="1"/>
    <x v="3"/>
    <x v="3"/>
    <x v="14"/>
    <x v="13"/>
    <x v="14"/>
  </r>
  <r>
    <x v="1"/>
    <x v="99"/>
    <x v="1"/>
    <x v="5"/>
    <d v="2026-03-28T17:44:00"/>
    <d v="2026-03-28T19:07:00"/>
    <x v="12"/>
    <n v="14539"/>
    <s v="MOLETOM MESCLA PA TUBULAR"/>
    <x v="1"/>
    <x v="3"/>
    <x v="3"/>
    <x v="14"/>
    <x v="13"/>
    <x v="14"/>
  </r>
  <r>
    <x v="1"/>
    <x v="100"/>
    <x v="1"/>
    <x v="1"/>
    <d v="2026-03-28T18:10:00"/>
    <d v="2026-03-29T02:59:00"/>
    <x v="6"/>
    <n v="1444"/>
    <s v="M/M 30/1 PV ROYAL"/>
    <x v="1"/>
    <x v="3"/>
    <x v="3"/>
    <x v="14"/>
    <x v="13"/>
    <x v="14"/>
  </r>
  <r>
    <x v="1"/>
    <x v="101"/>
    <x v="1"/>
    <x v="4"/>
    <d v="2026-03-28T18:26:00"/>
    <d v="2026-03-29T00:13:00"/>
    <x v="16"/>
    <n v="956"/>
    <s v="POLIAMIDA FITNESS PRETO"/>
    <x v="1"/>
    <x v="3"/>
    <x v="3"/>
    <x v="14"/>
    <x v="13"/>
    <x v="14"/>
  </r>
  <r>
    <x v="1"/>
    <x v="102"/>
    <x v="1"/>
    <x v="7"/>
    <d v="2026-03-28T19:38:00"/>
    <d v="2026-03-28T23:12:00"/>
    <x v="7"/>
    <n v="1651"/>
    <s v="M/M 24/1 18 TRAMAS BRANCO"/>
    <x v="1"/>
    <x v="3"/>
    <x v="3"/>
    <x v="14"/>
    <x v="13"/>
    <x v="14"/>
  </r>
  <r>
    <x v="1"/>
    <x v="103"/>
    <x v="1"/>
    <x v="9"/>
    <d v="2026-03-28T21:49:00"/>
    <d v="2026-03-29T02:24:00"/>
    <x v="2"/>
    <n v="11944"/>
    <s v="VISCOLYCRA VORTEX PRETO"/>
    <x v="1"/>
    <x v="3"/>
    <x v="3"/>
    <x v="14"/>
    <x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01" firstHeaderRow="1" firstDataRow="1" firstDataCol="1" rowPageCount="1" colPageCount="1"/>
  <pivotFields count="15">
    <pivotField axis="axisRow" showAll="0" defaultSubtotal="0">
      <items count="19">
        <item x="1"/>
        <item x="0"/>
        <item x="4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showAll="0" sortType="ascending" defaultSubtotal="0">
      <items count="104">
        <item x="10"/>
        <item x="1"/>
        <item x="0"/>
        <item x="13"/>
        <item x="15"/>
        <item x="14"/>
        <item x="31"/>
        <item x="2"/>
        <item x="3"/>
        <item x="4"/>
        <item x="5"/>
        <item x="6"/>
        <item x="7"/>
        <item x="8"/>
        <item x="9"/>
        <item x="11"/>
        <item x="12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2"/>
        <item x="5"/>
        <item x="6"/>
        <item x="10"/>
        <item x="9"/>
        <item x="1"/>
        <item x="4"/>
        <item x="8"/>
        <item x="3"/>
        <item x="7"/>
        <item x="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98">
    <i>
      <x/>
    </i>
    <i r="1">
      <x/>
    </i>
    <i r="2">
      <x v="94"/>
    </i>
    <i r="1">
      <x v="14"/>
    </i>
    <i r="2">
      <x v="72"/>
    </i>
    <i r="2">
      <x v="71"/>
    </i>
    <i r="2">
      <x v="73"/>
    </i>
    <i>
      <x v="1"/>
    </i>
    <i r="1">
      <x/>
    </i>
    <i r="2">
      <x v="39"/>
    </i>
    <i r="2">
      <x v="52"/>
    </i>
    <i r="2">
      <x v="58"/>
    </i>
    <i r="2">
      <x v="69"/>
    </i>
    <i r="2">
      <x v="74"/>
    </i>
    <i r="2">
      <x v="95"/>
    </i>
    <i r="2">
      <x v="99"/>
    </i>
    <i r="1">
      <x v="8"/>
    </i>
    <i r="2">
      <x v="33"/>
    </i>
    <i r="2">
      <x v="35"/>
    </i>
    <i>
      <x v="2"/>
    </i>
    <i r="1">
      <x/>
    </i>
    <i r="2">
      <x v="57"/>
    </i>
    <i r="2">
      <x v="80"/>
    </i>
    <i r="2">
      <x v="96"/>
    </i>
    <i r="1">
      <x v="16"/>
    </i>
    <i r="2">
      <x v="82"/>
    </i>
    <i r="2">
      <x v="83"/>
    </i>
    <i r="1">
      <x v="18"/>
    </i>
    <i r="2">
      <x v="90"/>
    </i>
    <i r="2">
      <x v="91"/>
    </i>
    <i>
      <x v="3"/>
    </i>
    <i r="1">
      <x/>
    </i>
    <i r="2">
      <x v="6"/>
    </i>
    <i r="2">
      <x v="43"/>
    </i>
    <i r="2">
      <x v="48"/>
    </i>
    <i r="2">
      <x v="54"/>
    </i>
    <i r="2">
      <x v="56"/>
    </i>
    <i r="2">
      <x v="59"/>
    </i>
    <i r="2">
      <x v="70"/>
    </i>
    <i r="2">
      <x v="75"/>
    </i>
    <i r="2">
      <x v="79"/>
    </i>
    <i r="2">
      <x v="81"/>
    </i>
    <i>
      <x v="4"/>
    </i>
    <i r="1">
      <x/>
    </i>
    <i r="2">
      <x v="47"/>
    </i>
    <i r="2">
      <x v="92"/>
    </i>
    <i r="2">
      <x v="98"/>
    </i>
    <i r="2">
      <x v="103"/>
    </i>
    <i>
      <x v="5"/>
    </i>
    <i r="1">
      <x/>
    </i>
    <i r="2">
      <x v="84"/>
    </i>
    <i r="2">
      <x v="100"/>
    </i>
    <i r="1">
      <x v="12"/>
    </i>
    <i r="2">
      <x v="61"/>
    </i>
    <i r="2">
      <x v="62"/>
    </i>
    <i>
      <x v="6"/>
    </i>
    <i r="1">
      <x/>
    </i>
    <i r="2">
      <x v="51"/>
    </i>
    <i r="2">
      <x v="67"/>
    </i>
    <i r="2">
      <x v="86"/>
    </i>
    <i r="2">
      <x v="101"/>
    </i>
    <i>
      <x v="7"/>
    </i>
    <i r="1">
      <x/>
    </i>
    <i r="2">
      <x v="46"/>
    </i>
    <i r="2">
      <x v="68"/>
    </i>
    <i r="2">
      <x v="89"/>
    </i>
    <i>
      <x v="8"/>
    </i>
    <i r="1">
      <x v="9"/>
    </i>
    <i r="2">
      <x v="42"/>
    </i>
    <i r="2">
      <x v="41"/>
    </i>
    <i r="2">
      <x v="44"/>
    </i>
    <i r="1">
      <x v="13"/>
    </i>
    <i r="2">
      <x v="65"/>
    </i>
    <i r="2">
      <x v="66"/>
    </i>
    <i r="1">
      <x v="17"/>
    </i>
    <i r="2">
      <x v="87"/>
    </i>
    <i r="2">
      <x v="88"/>
    </i>
    <i>
      <x v="9"/>
    </i>
    <i r="1">
      <x/>
    </i>
    <i r="2">
      <x v="20"/>
    </i>
    <i r="2">
      <x v="32"/>
    </i>
    <i r="2">
      <x v="37"/>
    </i>
    <i r="2">
      <x v="45"/>
    </i>
    <i r="2">
      <x v="55"/>
    </i>
    <i r="2">
      <x v="64"/>
    </i>
    <i r="2">
      <x v="76"/>
    </i>
    <i r="2">
      <x v="85"/>
    </i>
    <i r="2">
      <x v="93"/>
    </i>
    <i r="2">
      <x v="97"/>
    </i>
    <i r="2">
      <x v="102"/>
    </i>
    <i>
      <x v="10"/>
    </i>
    <i r="1">
      <x v="10"/>
    </i>
    <i r="2">
      <x v="49"/>
    </i>
    <i r="2">
      <x v="50"/>
    </i>
    <i r="1">
      <x v="15"/>
    </i>
    <i r="2">
      <x v="77"/>
    </i>
    <i r="2">
      <x v="78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01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171808</v>
      </c>
      <c r="B6" s="5">
        <v>46109.539583333331</v>
      </c>
    </row>
    <row r="7" spans="1:2" x14ac:dyDescent="0.25">
      <c r="A7" s="3">
        <v>185526</v>
      </c>
      <c r="B7" s="5"/>
    </row>
    <row r="8" spans="1:2" x14ac:dyDescent="0.25">
      <c r="A8" s="4">
        <v>171065</v>
      </c>
      <c r="B8" s="5">
        <v>46109.232638888891</v>
      </c>
    </row>
    <row r="9" spans="1:2" x14ac:dyDescent="0.25">
      <c r="A9" s="4">
        <v>171066</v>
      </c>
      <c r="B9" s="5">
        <v>46109.232638888891</v>
      </c>
    </row>
    <row r="10" spans="1:2" x14ac:dyDescent="0.25">
      <c r="A10" s="4">
        <v>171064</v>
      </c>
      <c r="B10" s="5">
        <v>46109.232638888891</v>
      </c>
    </row>
    <row r="11" spans="1:2" x14ac:dyDescent="0.25">
      <c r="A11" s="2" t="s">
        <v>6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171403</v>
      </c>
      <c r="B13" s="5">
        <v>46108.768750000003</v>
      </c>
    </row>
    <row r="14" spans="1:2" x14ac:dyDescent="0.25">
      <c r="A14" s="4">
        <v>171404</v>
      </c>
      <c r="B14" s="5">
        <v>46108.906944444447</v>
      </c>
    </row>
    <row r="15" spans="1:2" x14ac:dyDescent="0.25">
      <c r="A15" s="4">
        <v>171407</v>
      </c>
      <c r="B15" s="5">
        <v>46109.045138888891</v>
      </c>
    </row>
    <row r="16" spans="1:2" x14ac:dyDescent="0.25">
      <c r="A16" s="4">
        <v>171473</v>
      </c>
      <c r="B16" s="5">
        <v>46109.183333333334</v>
      </c>
    </row>
    <row r="17" spans="1:2" x14ac:dyDescent="0.25">
      <c r="A17" s="4">
        <v>171456</v>
      </c>
      <c r="B17" s="5">
        <v>46109.243750000001</v>
      </c>
    </row>
    <row r="18" spans="1:2" x14ac:dyDescent="0.25">
      <c r="A18" s="4">
        <v>171457</v>
      </c>
      <c r="B18" s="5">
        <v>46109.545138888891</v>
      </c>
    </row>
    <row r="19" spans="1:2" x14ac:dyDescent="0.25">
      <c r="A19" s="4">
        <v>170710</v>
      </c>
      <c r="B19" s="5">
        <v>46109.738888888889</v>
      </c>
    </row>
    <row r="20" spans="1:2" x14ac:dyDescent="0.25">
      <c r="A20" s="3">
        <v>185541</v>
      </c>
      <c r="B20" s="5"/>
    </row>
    <row r="21" spans="1:2" x14ac:dyDescent="0.25">
      <c r="A21" s="4">
        <v>171324</v>
      </c>
      <c r="B21" s="5">
        <v>46108.678472222222</v>
      </c>
    </row>
    <row r="22" spans="1:2" x14ac:dyDescent="0.25">
      <c r="A22" s="4">
        <v>171323</v>
      </c>
      <c r="B22" s="5">
        <v>46108.678472222222</v>
      </c>
    </row>
    <row r="23" spans="1:2" x14ac:dyDescent="0.25">
      <c r="A23" s="2" t="s">
        <v>11</v>
      </c>
      <c r="B23" s="5"/>
    </row>
    <row r="24" spans="1:2" x14ac:dyDescent="0.25">
      <c r="A24" s="3">
        <v>0</v>
      </c>
      <c r="B24" s="5"/>
    </row>
    <row r="25" spans="1:2" x14ac:dyDescent="0.25">
      <c r="A25" s="4">
        <v>171752</v>
      </c>
      <c r="B25" s="5">
        <v>46109.020138888889</v>
      </c>
    </row>
    <row r="26" spans="1:2" x14ac:dyDescent="0.25">
      <c r="A26" s="4">
        <v>171067</v>
      </c>
      <c r="B26" s="5">
        <v>46109.307638888888</v>
      </c>
    </row>
    <row r="27" spans="1:2" x14ac:dyDescent="0.25">
      <c r="A27" s="4">
        <v>171060</v>
      </c>
      <c r="B27" s="5">
        <v>46109.546527777777</v>
      </c>
    </row>
    <row r="28" spans="1:2" x14ac:dyDescent="0.25">
      <c r="A28" s="3">
        <v>185547</v>
      </c>
      <c r="B28" s="5"/>
    </row>
    <row r="29" spans="1:2" x14ac:dyDescent="0.25">
      <c r="A29" s="4">
        <v>171549</v>
      </c>
      <c r="B29" s="5">
        <v>46109.365972222222</v>
      </c>
    </row>
    <row r="30" spans="1:2" x14ac:dyDescent="0.25">
      <c r="A30" s="4">
        <v>171551</v>
      </c>
      <c r="B30" s="5">
        <v>46109.365972222222</v>
      </c>
    </row>
    <row r="31" spans="1:2" x14ac:dyDescent="0.25">
      <c r="A31" s="3">
        <v>185546</v>
      </c>
      <c r="B31" s="5"/>
    </row>
    <row r="32" spans="1:2" x14ac:dyDescent="0.25">
      <c r="A32" s="4">
        <v>171552</v>
      </c>
      <c r="B32" s="5">
        <v>46109.456250000003</v>
      </c>
    </row>
    <row r="33" spans="1:2" x14ac:dyDescent="0.25">
      <c r="A33" s="4">
        <v>171550</v>
      </c>
      <c r="B33" s="5">
        <v>46109.456250000003</v>
      </c>
    </row>
    <row r="34" spans="1:2" x14ac:dyDescent="0.25">
      <c r="A34" s="2" t="s">
        <v>12</v>
      </c>
      <c r="B34" s="5"/>
    </row>
    <row r="35" spans="1:2" x14ac:dyDescent="0.25">
      <c r="A35" s="3">
        <v>0</v>
      </c>
      <c r="B35" s="5"/>
    </row>
    <row r="36" spans="1:2" x14ac:dyDescent="0.25">
      <c r="A36" s="4">
        <v>172030</v>
      </c>
      <c r="B36" s="5">
        <v>46108.666666666664</v>
      </c>
    </row>
    <row r="37" spans="1:2" x14ac:dyDescent="0.25">
      <c r="A37" s="4">
        <v>172112</v>
      </c>
      <c r="B37" s="5">
        <v>46108.804861111108</v>
      </c>
    </row>
    <row r="38" spans="1:2" x14ac:dyDescent="0.25">
      <c r="A38" s="4">
        <v>172113</v>
      </c>
      <c r="B38" s="5">
        <v>46108.865277777775</v>
      </c>
    </row>
    <row r="39" spans="1:2" x14ac:dyDescent="0.25">
      <c r="A39" s="4">
        <v>172114</v>
      </c>
      <c r="B39" s="5">
        <v>46108.925694444442</v>
      </c>
    </row>
    <row r="40" spans="1:2" x14ac:dyDescent="0.25">
      <c r="A40" s="4">
        <v>172115</v>
      </c>
      <c r="B40" s="5">
        <v>46108.986111111109</v>
      </c>
    </row>
    <row r="41" spans="1:2" x14ac:dyDescent="0.25">
      <c r="A41" s="4">
        <v>171317</v>
      </c>
      <c r="B41" s="5">
        <v>46109.046527777777</v>
      </c>
    </row>
    <row r="42" spans="1:2" x14ac:dyDescent="0.25">
      <c r="A42" s="4">
        <v>171354</v>
      </c>
      <c r="B42" s="5">
        <v>46109.18472222222</v>
      </c>
    </row>
    <row r="43" spans="1:2" x14ac:dyDescent="0.25">
      <c r="A43" s="4">
        <v>172116</v>
      </c>
      <c r="B43" s="5">
        <v>46109.245138888888</v>
      </c>
    </row>
    <row r="44" spans="1:2" x14ac:dyDescent="0.25">
      <c r="A44" s="4">
        <v>172117</v>
      </c>
      <c r="B44" s="5">
        <v>46109.305555555555</v>
      </c>
    </row>
    <row r="45" spans="1:2" x14ac:dyDescent="0.25">
      <c r="A45" s="4">
        <v>171369</v>
      </c>
      <c r="B45" s="5">
        <v>46109.365972222222</v>
      </c>
    </row>
    <row r="46" spans="1:2" x14ac:dyDescent="0.25">
      <c r="A46" s="2" t="s">
        <v>7</v>
      </c>
      <c r="B46" s="5"/>
    </row>
    <row r="47" spans="1:2" x14ac:dyDescent="0.25">
      <c r="A47" s="3">
        <v>0</v>
      </c>
      <c r="B47" s="5"/>
    </row>
    <row r="48" spans="1:2" x14ac:dyDescent="0.25">
      <c r="A48" s="4">
        <v>171754</v>
      </c>
      <c r="B48" s="5">
        <v>46108.833333333336</v>
      </c>
    </row>
    <row r="49" spans="1:2" x14ac:dyDescent="0.25">
      <c r="A49" s="4">
        <v>171753</v>
      </c>
      <c r="B49" s="5">
        <v>46109.46597222222</v>
      </c>
    </row>
    <row r="50" spans="1:2" x14ac:dyDescent="0.25">
      <c r="A50" s="4">
        <v>172061</v>
      </c>
      <c r="B50" s="5">
        <v>46109.717361111114</v>
      </c>
    </row>
    <row r="51" spans="1:2" x14ac:dyDescent="0.25">
      <c r="A51" s="4">
        <v>172062</v>
      </c>
      <c r="B51" s="5">
        <v>46109.90902777778</v>
      </c>
    </row>
    <row r="52" spans="1:2" x14ac:dyDescent="0.25">
      <c r="A52" s="2" t="s">
        <v>13</v>
      </c>
      <c r="B52" s="5"/>
    </row>
    <row r="53" spans="1:2" x14ac:dyDescent="0.25">
      <c r="A53" s="3">
        <v>0</v>
      </c>
      <c r="B53" s="5"/>
    </row>
    <row r="54" spans="1:2" x14ac:dyDescent="0.25">
      <c r="A54" s="4">
        <v>171337</v>
      </c>
      <c r="B54" s="5">
        <v>46109.388888888891</v>
      </c>
    </row>
    <row r="55" spans="1:2" x14ac:dyDescent="0.25">
      <c r="A55" s="4">
        <v>171338</v>
      </c>
      <c r="B55" s="5">
        <v>46109.756944444445</v>
      </c>
    </row>
    <row r="56" spans="1:2" x14ac:dyDescent="0.25">
      <c r="A56" s="3">
        <v>185540</v>
      </c>
      <c r="B56" s="5"/>
    </row>
    <row r="57" spans="1:2" x14ac:dyDescent="0.25">
      <c r="A57" s="4">
        <v>171345</v>
      </c>
      <c r="B57" s="5">
        <v>46109.084722222222</v>
      </c>
    </row>
    <row r="58" spans="1:2" x14ac:dyDescent="0.25">
      <c r="A58" s="4">
        <v>171344</v>
      </c>
      <c r="B58" s="5">
        <v>46109.084722222222</v>
      </c>
    </row>
    <row r="59" spans="1:2" x14ac:dyDescent="0.25">
      <c r="A59" s="2" t="s">
        <v>14</v>
      </c>
      <c r="B59" s="5"/>
    </row>
    <row r="60" spans="1:2" x14ac:dyDescent="0.25">
      <c r="A60" s="3">
        <v>0</v>
      </c>
      <c r="B60" s="5"/>
    </row>
    <row r="61" spans="1:2" x14ac:dyDescent="0.25">
      <c r="A61" s="4">
        <v>171329</v>
      </c>
      <c r="B61" s="5">
        <v>46108.904166666667</v>
      </c>
    </row>
    <row r="62" spans="1:2" x14ac:dyDescent="0.25">
      <c r="A62" s="4">
        <v>171608</v>
      </c>
      <c r="B62" s="5">
        <v>46109.154166666667</v>
      </c>
    </row>
    <row r="63" spans="1:2" x14ac:dyDescent="0.25">
      <c r="A63" s="4">
        <v>171342</v>
      </c>
      <c r="B63" s="5">
        <v>46109.443749999999</v>
      </c>
    </row>
    <row r="64" spans="1:2" x14ac:dyDescent="0.25">
      <c r="A64" s="4">
        <v>171086</v>
      </c>
      <c r="B64" s="5">
        <v>46109.768055555556</v>
      </c>
    </row>
    <row r="65" spans="1:2" x14ac:dyDescent="0.25">
      <c r="A65" s="2" t="s">
        <v>8</v>
      </c>
      <c r="B65" s="5"/>
    </row>
    <row r="66" spans="1:2" x14ac:dyDescent="0.25">
      <c r="A66" s="3">
        <v>0</v>
      </c>
      <c r="B66" s="5"/>
    </row>
    <row r="67" spans="1:2" x14ac:dyDescent="0.25">
      <c r="A67" s="4">
        <v>171771</v>
      </c>
      <c r="B67" s="5">
        <v>46108.820833333331</v>
      </c>
    </row>
    <row r="68" spans="1:2" x14ac:dyDescent="0.25">
      <c r="A68" s="4">
        <v>171750</v>
      </c>
      <c r="B68" s="5">
        <v>46109.155555555553</v>
      </c>
    </row>
    <row r="69" spans="1:2" x14ac:dyDescent="0.25">
      <c r="A69" s="4">
        <v>171548</v>
      </c>
      <c r="B69" s="5">
        <v>46109.452777777777</v>
      </c>
    </row>
    <row r="70" spans="1:2" x14ac:dyDescent="0.25">
      <c r="A70" s="2" t="s">
        <v>9</v>
      </c>
      <c r="B70" s="5"/>
    </row>
    <row r="71" spans="1:2" x14ac:dyDescent="0.25">
      <c r="A71" s="3">
        <v>185583</v>
      </c>
      <c r="B71" s="5"/>
    </row>
    <row r="72" spans="1:2" x14ac:dyDescent="0.25">
      <c r="A72" s="4">
        <v>170685</v>
      </c>
      <c r="B72" s="5">
        <v>46108.804861111108</v>
      </c>
    </row>
    <row r="73" spans="1:2" x14ac:dyDescent="0.25">
      <c r="A73" s="4">
        <v>171648</v>
      </c>
      <c r="B73" s="5">
        <v>46108.804861111108</v>
      </c>
    </row>
    <row r="74" spans="1:2" x14ac:dyDescent="0.25">
      <c r="A74" s="4">
        <v>171649</v>
      </c>
      <c r="B74" s="5">
        <v>46108.804861111108</v>
      </c>
    </row>
    <row r="75" spans="1:2" x14ac:dyDescent="0.25">
      <c r="A75" s="3">
        <v>185625</v>
      </c>
      <c r="B75" s="5"/>
    </row>
    <row r="76" spans="1:2" x14ac:dyDescent="0.25">
      <c r="A76" s="4">
        <v>171440</v>
      </c>
      <c r="B76" s="5">
        <v>46109.126388888886</v>
      </c>
    </row>
    <row r="77" spans="1:2" x14ac:dyDescent="0.25">
      <c r="A77" s="4">
        <v>171441</v>
      </c>
      <c r="B77" s="5">
        <v>46109.126388888886</v>
      </c>
    </row>
    <row r="78" spans="1:2" x14ac:dyDescent="0.25">
      <c r="A78" s="3">
        <v>185611</v>
      </c>
      <c r="B78" s="5"/>
    </row>
    <row r="79" spans="1:2" x14ac:dyDescent="0.25">
      <c r="A79" s="4">
        <v>171517</v>
      </c>
      <c r="B79" s="5">
        <v>46109.447916666664</v>
      </c>
    </row>
    <row r="80" spans="1:2" x14ac:dyDescent="0.25">
      <c r="A80" s="4">
        <v>171518</v>
      </c>
      <c r="B80" s="5">
        <v>46109.447916666664</v>
      </c>
    </row>
    <row r="81" spans="1:2" x14ac:dyDescent="0.25">
      <c r="A81" s="2" t="s">
        <v>10</v>
      </c>
      <c r="B81" s="5"/>
    </row>
    <row r="82" spans="1:2" x14ac:dyDescent="0.25">
      <c r="A82" s="3">
        <v>0</v>
      </c>
      <c r="B82" s="5"/>
    </row>
    <row r="83" spans="1:2" x14ac:dyDescent="0.25">
      <c r="A83" s="4">
        <v>170508</v>
      </c>
      <c r="B83" s="5">
        <v>46108.53125</v>
      </c>
    </row>
    <row r="84" spans="1:2" x14ac:dyDescent="0.25">
      <c r="A84" s="4">
        <v>170512</v>
      </c>
      <c r="B84" s="5">
        <v>46108.671527777777</v>
      </c>
    </row>
    <row r="85" spans="1:2" x14ac:dyDescent="0.25">
      <c r="A85" s="4">
        <v>170513</v>
      </c>
      <c r="B85" s="5">
        <v>46108.741666666669</v>
      </c>
    </row>
    <row r="86" spans="1:2" x14ac:dyDescent="0.25">
      <c r="A86" s="4">
        <v>171385</v>
      </c>
      <c r="B86" s="5">
        <v>46108.811805555553</v>
      </c>
    </row>
    <row r="87" spans="1:2" x14ac:dyDescent="0.25">
      <c r="A87" s="4">
        <v>171386</v>
      </c>
      <c r="B87" s="5">
        <v>46108.961111111108</v>
      </c>
    </row>
    <row r="88" spans="1:2" x14ac:dyDescent="0.25">
      <c r="A88" s="4">
        <v>171387</v>
      </c>
      <c r="B88" s="5">
        <v>46109.11041666667</v>
      </c>
    </row>
    <row r="89" spans="1:2" x14ac:dyDescent="0.25">
      <c r="A89" s="4">
        <v>171401</v>
      </c>
      <c r="B89" s="5">
        <v>46109.259722222225</v>
      </c>
    </row>
    <row r="90" spans="1:2" x14ac:dyDescent="0.25">
      <c r="A90" s="4">
        <v>171444</v>
      </c>
      <c r="B90" s="5">
        <v>46109.40902777778</v>
      </c>
    </row>
    <row r="91" spans="1:2" x14ac:dyDescent="0.25">
      <c r="A91" s="4">
        <v>171406</v>
      </c>
      <c r="B91" s="5">
        <v>46109.519444444442</v>
      </c>
    </row>
    <row r="92" spans="1:2" x14ac:dyDescent="0.25">
      <c r="A92" s="4">
        <v>171402</v>
      </c>
      <c r="B92" s="5">
        <v>46109.668749999997</v>
      </c>
    </row>
    <row r="93" spans="1:2" x14ac:dyDescent="0.25">
      <c r="A93" s="4">
        <v>171405</v>
      </c>
      <c r="B93" s="5">
        <v>46109.818055555559</v>
      </c>
    </row>
    <row r="94" spans="1:2" x14ac:dyDescent="0.25">
      <c r="A94" s="2" t="s">
        <v>15</v>
      </c>
      <c r="B94" s="5"/>
    </row>
    <row r="95" spans="1:2" x14ac:dyDescent="0.25">
      <c r="A95" s="3">
        <v>185620</v>
      </c>
      <c r="B95" s="5"/>
    </row>
    <row r="96" spans="1:2" x14ac:dyDescent="0.25">
      <c r="A96" s="4">
        <v>171905</v>
      </c>
      <c r="B96" s="5">
        <v>46108.884027777778</v>
      </c>
    </row>
    <row r="97" spans="1:2" x14ac:dyDescent="0.25">
      <c r="A97" s="4">
        <v>171906</v>
      </c>
      <c r="B97" s="5">
        <v>46108.884027777778</v>
      </c>
    </row>
    <row r="98" spans="1:2" x14ac:dyDescent="0.25">
      <c r="A98" s="3">
        <v>185647</v>
      </c>
      <c r="B98" s="5"/>
    </row>
    <row r="99" spans="1:2" x14ac:dyDescent="0.25">
      <c r="A99" s="4">
        <v>171408</v>
      </c>
      <c r="B99" s="5">
        <v>46109.263888888891</v>
      </c>
    </row>
    <row r="100" spans="1:2" x14ac:dyDescent="0.25">
      <c r="A100" s="4">
        <v>171409</v>
      </c>
      <c r="B100" s="5">
        <v>46109.263888888891</v>
      </c>
    </row>
    <row r="101" spans="1:2" x14ac:dyDescent="0.25">
      <c r="A101" s="2" t="s">
        <v>1</v>
      </c>
      <c r="B101" s="5">
        <v>46108.53125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2026-03-27T14:21:31Z</dcterms:modified>
</cp:coreProperties>
</file>