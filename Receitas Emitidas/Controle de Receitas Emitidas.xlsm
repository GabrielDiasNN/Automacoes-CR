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835842F1-1EB8-4293-8C95-00E809ACB55C}" xr6:coauthVersionLast="47" xr6:coauthVersionMax="47" xr10:uidLastSave="{00000000-0000-0000-0000-000000000000}"/>
  <bookViews>
    <workbookView xWindow="-120" yWindow="-120" windowWidth="290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<sst xmlns="http://schemas.openxmlformats.org/spreadsheetml/2006/main" count="19" uniqueCount="19">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</sst>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25.378581944446" missingItemsLimit="0" createdVersion="7" refreshedVersion="7" minRefreshableVersion="3" recordCount="100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892" count="19">
        <n v="185716"/>
        <n v="185792"/>
        <n v="0"/>
        <n v="185835"/>
        <n v="185718"/>
        <n v="185831"/>
        <n v="185747"/>
        <n v="185892"/>
        <n v="185758"/>
        <n v="185830"/>
        <n v="185761"/>
        <n v="185879"/>
        <n v="185748"/>
        <n v="185766"/>
        <n v="185839"/>
        <n v="185752"/>
        <n v="185881"/>
        <n v="185875"/>
        <n v="185882"/>
      </sharedItems>
    </cacheField>
    <cacheField name="NUMERO_OB" numFmtId="0">
      <sharedItems containsSemiMixedTypes="0" containsString="0" containsNumber="1" containsInteger="1" minValue="171884" maxValue="173699" count="100">
        <n v="172546"/>
        <n v="172545"/>
        <n v="172547"/>
        <n v="172563"/>
        <n v="172564"/>
        <n v="172771"/>
        <n v="172983"/>
        <n v="173429"/>
        <n v="173430"/>
        <n v="173427"/>
        <n v="173425"/>
        <n v="173383"/>
        <n v="173108"/>
        <n v="172705"/>
        <n v="173090"/>
        <n v="172975"/>
        <n v="172835"/>
        <n v="173075"/>
        <n v="173088"/>
        <n v="172568"/>
        <n v="172566"/>
        <n v="172567"/>
        <n v="172972"/>
        <n v="173083"/>
        <n v="173084"/>
        <n v="172838"/>
        <n v="173094"/>
        <n v="173011"/>
        <n v="171884"/>
        <n v="173082"/>
        <n v="173004"/>
        <n v="173018"/>
        <n v="172703"/>
        <n v="173483"/>
        <n v="172600"/>
        <n v="173072"/>
        <n v="172794"/>
        <n v="172793"/>
        <n v="172995"/>
        <n v="173048"/>
        <n v="173060"/>
        <n v="173096"/>
        <n v="172789"/>
        <n v="173086"/>
        <n v="173085"/>
        <n v="172977"/>
        <n v="173045"/>
        <n v="173057"/>
        <n v="173484"/>
        <n v="173036"/>
        <n v="173037"/>
        <n v="173071"/>
        <n v="173699"/>
        <n v="172795"/>
        <n v="172519"/>
        <n v="173698"/>
        <n v="172834"/>
        <n v="173093"/>
        <n v="172992"/>
        <n v="173073"/>
        <n v="172979"/>
        <n v="173005"/>
        <n v="173056"/>
        <n v="173044"/>
        <n v="173019"/>
        <n v="173101"/>
        <n v="173098"/>
        <n v="173142"/>
        <n v="172721"/>
        <n v="172720"/>
        <n v="172985"/>
        <n v="172984"/>
        <n v="172980"/>
        <n v="173077"/>
        <n v="173000"/>
        <n v="173014"/>
        <n v="172976"/>
        <n v="172766"/>
        <n v="172770"/>
        <n v="173076"/>
        <n v="172730"/>
        <n v="172729"/>
        <n v="173480"/>
        <n v="173485"/>
        <n v="172710"/>
        <n v="172711"/>
        <n v="173468"/>
        <n v="172769"/>
        <n v="173031"/>
        <n v="173478"/>
        <n v="173469"/>
        <n v="172768"/>
        <n v="173033"/>
        <n v="173486"/>
        <n v="173470"/>
        <n v="172651"/>
        <n v="172650"/>
        <n v="172981"/>
        <n v="173471"/>
        <n v="172978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1"/>
        <s v="MQ09"/>
        <s v="MQ06"/>
        <s v="MQ05"/>
        <s v="MQ01"/>
        <s v="MQ08"/>
        <s v="MQ03"/>
        <s v="MQ10"/>
        <s v="MQ04"/>
        <s v="MQ07"/>
        <s v="MQ02"/>
      </sharedItems>
    </cacheField>
    <cacheField name="INICIO_TING" numFmtId="0">
      <sharedItems containsSemiMixedTypes="0" containsNonDate="0" containsDate="1" containsString="0" minDate="2026-04-13T03:17:00" maxDate="2026-04-14T19:16:00"/>
    </cacheField>
    <cacheField name="FINAL_TING" numFmtId="0">
      <sharedItems containsSemiMixedTypes="0" containsNonDate="0" containsDate="1" containsString="0" minDate="2026-04-13T09:36:00" maxDate="2026-04-15T00:00:00"/>
    </cacheField>
    <cacheField name="ARTIGO" numFmtId="0">
      <sharedItems count="12">
        <s v="00032     "/>
        <s v="00189     "/>
        <s v="00142     "/>
        <s v="00024     "/>
        <s v="00184     "/>
        <s v="00149     "/>
        <s v="00015     "/>
        <s v="00022     "/>
        <s v="00178     "/>
        <s v="00030     "/>
        <s v="00042     "/>
        <s v="00047     "/>
      </sharedItems>
    </cacheField>
    <cacheField name="REDUZIDO" numFmtId="0">
      <sharedItems containsSemiMixedTypes="0" containsString="0" containsNumber="1" containsInteger="1" minValue="208" maxValue="23284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EMITIDA"/>
        <s v="PESADA"/>
        <s v="PROGRAMADA"/>
      </sharedItems>
    </cacheField>
    <cacheField name="USUARIO" numFmtId="0">
      <sharedItems containsBlank="1" count="3">
        <s v="RAFAEL ALEXANDRE DA ROSA"/>
        <m/>
        <s v="LUIZ ANDREI DE LIMA"/>
      </sharedItems>
    </cacheField>
    <cacheField name="HORARIO_PESADO" numFmtId="0">
      <sharedItems containsNonDate="0" containsDate="1" containsString="0" containsBlank="1" minDate="2026-04-11T00:17:43" maxDate="2026-04-13T08:49:05" count="18">
        <d v="2026-04-13T00:46:24"/>
        <d v="2026-04-13T02:19:31"/>
        <d v="2026-04-12T23:50:14"/>
        <d v="2026-04-13T00:16:17"/>
        <d v="2026-04-13T02:49:10"/>
        <d v="2026-04-13T00:53:50"/>
        <d v="2026-04-13T02:23:52"/>
        <d v="2026-04-13T01:49:23"/>
        <d v="2026-04-13T00:08:37"/>
        <d v="2026-04-12T23:03:33"/>
        <d v="2026-04-12T23:26:53"/>
        <m/>
        <d v="2026-04-13T08:00:38"/>
        <d v="2026-04-11T00:17:43"/>
        <d v="2026-04-13T01:51:52"/>
        <d v="2026-04-13T07:23:18"/>
        <d v="2026-04-13T08:31:46"/>
        <d v="2026-04-13T08:49:05"/>
      </sharedItems>
    </cacheField>
    <cacheField name="DIAS_PESADO" numFmtId="0">
      <sharedItems containsString="0" containsBlank="1" containsNumber="1" minValue="0.01" maxValue="2.37" count="15">
        <n v="0.35"/>
        <n v="0.28000000000000003"/>
        <n v="0.39"/>
        <n v="0.37"/>
        <n v="0.26"/>
        <n v="0.34"/>
        <n v="0.3"/>
        <n v="0.42"/>
        <n v="0.4"/>
        <m/>
        <n v="0.04"/>
        <n v="2.37"/>
        <n v="7.0000000000000007E-2"/>
        <n v="0.02"/>
        <n v="0.01"/>
      </sharedItems>
    </cacheField>
    <cacheField name="QUANT_PESADA" numFmtId="0">
      <sharedItems containsSemiMixedTypes="0" containsString="0" containsNumber="1" minValue="0" maxValue="161.13300000000001" count="18">
        <n v="113.636"/>
        <n v="150.40100000000001"/>
        <n v="10.978"/>
        <n v="6.3559999999999999"/>
        <n v="108.29"/>
        <n v="0.27594000000000002"/>
        <n v="76.304000000000002"/>
        <n v="0.52678000000000003"/>
        <n v="14.06762"/>
        <n v="4.3019999999999996"/>
        <n v="8.6685099999999995"/>
        <n v="0"/>
        <n v="23.472000000000001"/>
        <n v="161.13300000000001"/>
        <n v="0.13097"/>
        <n v="119.26900000000001"/>
        <n v="8.9430599999999991"/>
        <n v="13.9609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x v="0"/>
    <x v="0"/>
    <d v="2026-04-13T03:17:00"/>
    <d v="2026-04-13T10:24:00"/>
    <x v="0"/>
    <n v="1432"/>
    <s v="M/M 30/1 PENTEADO VERMELHO"/>
    <x v="0"/>
    <x v="0"/>
    <x v="0"/>
    <x v="0"/>
    <x v="0"/>
    <x v="0"/>
  </r>
  <r>
    <x v="0"/>
    <x v="1"/>
    <x v="0"/>
    <x v="0"/>
    <d v="2026-04-13T03:17:00"/>
    <d v="2026-04-13T10:24:00"/>
    <x v="0"/>
    <n v="1432"/>
    <s v="M/M 30/1 PENTEADO VERMELHO"/>
    <x v="0"/>
    <x v="0"/>
    <x v="0"/>
    <x v="0"/>
    <x v="0"/>
    <x v="0"/>
  </r>
  <r>
    <x v="0"/>
    <x v="2"/>
    <x v="0"/>
    <x v="0"/>
    <d v="2026-04-13T03:17:00"/>
    <d v="2026-04-13T10:24:00"/>
    <x v="0"/>
    <n v="1432"/>
    <s v="M/M 30/1 PENTEADO VERMELHO"/>
    <x v="0"/>
    <x v="0"/>
    <x v="0"/>
    <x v="0"/>
    <x v="0"/>
    <x v="0"/>
  </r>
  <r>
    <x v="1"/>
    <x v="3"/>
    <x v="0"/>
    <x v="1"/>
    <d v="2026-04-13T05:12:00"/>
    <d v="2026-04-13T10:17:00"/>
    <x v="1"/>
    <n v="11944"/>
    <s v="VISCOLYCRA VORTEX PRETO"/>
    <x v="0"/>
    <x v="0"/>
    <x v="0"/>
    <x v="1"/>
    <x v="1"/>
    <x v="1"/>
  </r>
  <r>
    <x v="1"/>
    <x v="4"/>
    <x v="0"/>
    <x v="1"/>
    <d v="2026-04-13T05:12:00"/>
    <d v="2026-04-13T10:17:00"/>
    <x v="1"/>
    <n v="11944"/>
    <s v="VISCOLYCRA VORTEX PRETO"/>
    <x v="0"/>
    <x v="0"/>
    <x v="0"/>
    <x v="1"/>
    <x v="1"/>
    <x v="1"/>
  </r>
  <r>
    <x v="2"/>
    <x v="5"/>
    <x v="0"/>
    <x v="2"/>
    <d v="2026-04-13T05:24:00"/>
    <d v="2026-04-13T10:04:00"/>
    <x v="2"/>
    <n v="1021"/>
    <s v="HELANQUINHA DRY FIT VERDE BANDEIRA"/>
    <x v="0"/>
    <x v="0"/>
    <x v="0"/>
    <x v="2"/>
    <x v="2"/>
    <x v="2"/>
  </r>
  <r>
    <x v="2"/>
    <x v="6"/>
    <x v="0"/>
    <x v="3"/>
    <d v="2026-04-13T05:40:00"/>
    <d v="2026-04-13T12:57:00"/>
    <x v="3"/>
    <n v="1291"/>
    <s v="M/M 24/1 18 TRAMAS LILÁS MÉDIO"/>
    <x v="0"/>
    <x v="0"/>
    <x v="0"/>
    <x v="3"/>
    <x v="3"/>
    <x v="3"/>
  </r>
  <r>
    <x v="3"/>
    <x v="7"/>
    <x v="0"/>
    <x v="4"/>
    <d v="2026-04-13T06:05:00"/>
    <d v="2026-04-13T12:07:00"/>
    <x v="4"/>
    <n v="2599"/>
    <s v="POLIÉSTER FIADO PRETO"/>
    <x v="0"/>
    <x v="0"/>
    <x v="0"/>
    <x v="4"/>
    <x v="4"/>
    <x v="4"/>
  </r>
  <r>
    <x v="3"/>
    <x v="8"/>
    <x v="0"/>
    <x v="4"/>
    <d v="2026-04-13T06:05:00"/>
    <d v="2026-04-13T12:07:00"/>
    <x v="4"/>
    <n v="2599"/>
    <s v="POLIÉSTER FIADO PRETO"/>
    <x v="0"/>
    <x v="0"/>
    <x v="0"/>
    <x v="4"/>
    <x v="4"/>
    <x v="4"/>
  </r>
  <r>
    <x v="3"/>
    <x v="9"/>
    <x v="0"/>
    <x v="4"/>
    <d v="2026-04-13T06:05:00"/>
    <d v="2026-04-13T12:07:00"/>
    <x v="4"/>
    <n v="2599"/>
    <s v="POLIÉSTER FIADO PRETO"/>
    <x v="0"/>
    <x v="0"/>
    <x v="0"/>
    <x v="4"/>
    <x v="4"/>
    <x v="4"/>
  </r>
  <r>
    <x v="3"/>
    <x v="10"/>
    <x v="0"/>
    <x v="4"/>
    <d v="2026-04-13T06:05:00"/>
    <d v="2026-04-13T12:07:00"/>
    <x v="4"/>
    <n v="2599"/>
    <s v="POLIÉSTER FIADO PRETO"/>
    <x v="0"/>
    <x v="0"/>
    <x v="0"/>
    <x v="4"/>
    <x v="4"/>
    <x v="4"/>
  </r>
  <r>
    <x v="2"/>
    <x v="11"/>
    <x v="0"/>
    <x v="5"/>
    <d v="2026-04-13T06:31:00"/>
    <d v="2026-04-13T09:36:00"/>
    <x v="3"/>
    <n v="459"/>
    <s v="M/M 24/1 18 TRAMAS AZUL BEBÊ"/>
    <x v="0"/>
    <x v="0"/>
    <x v="0"/>
    <x v="5"/>
    <x v="5"/>
    <x v="5"/>
  </r>
  <r>
    <x v="2"/>
    <x v="12"/>
    <x v="0"/>
    <x v="6"/>
    <d v="2026-04-13T06:40:00"/>
    <d v="2026-04-13T11:25:00"/>
    <x v="1"/>
    <n v="11944"/>
    <s v="VISCOLYCRA VORTEX PRETO"/>
    <x v="0"/>
    <x v="0"/>
    <x v="0"/>
    <x v="6"/>
    <x v="1"/>
    <x v="6"/>
  </r>
  <r>
    <x v="2"/>
    <x v="13"/>
    <x v="0"/>
    <x v="7"/>
    <d v="2026-04-13T06:55:00"/>
    <d v="2026-04-13T10:20:00"/>
    <x v="0"/>
    <n v="1322"/>
    <s v="M/M 30/1 PENTEADO ROSA CHICLETE"/>
    <x v="0"/>
    <x v="0"/>
    <x v="0"/>
    <x v="7"/>
    <x v="6"/>
    <x v="7"/>
  </r>
  <r>
    <x v="2"/>
    <x v="14"/>
    <x v="0"/>
    <x v="8"/>
    <d v="2026-04-13T07:38:00"/>
    <d v="2026-04-13T13:38:00"/>
    <x v="3"/>
    <n v="1499"/>
    <s v="M/M 24/1 18 TRAMAS PINK"/>
    <x v="0"/>
    <x v="0"/>
    <x v="0"/>
    <x v="8"/>
    <x v="3"/>
    <x v="8"/>
  </r>
  <r>
    <x v="2"/>
    <x v="15"/>
    <x v="0"/>
    <x v="9"/>
    <d v="2026-04-13T08:02:00"/>
    <d v="2026-04-13T11:30:00"/>
    <x v="3"/>
    <n v="1651"/>
    <s v="M/M 24/1 18 TRAMAS BRANCO"/>
    <x v="0"/>
    <x v="0"/>
    <x v="0"/>
    <x v="9"/>
    <x v="7"/>
    <x v="9"/>
  </r>
  <r>
    <x v="2"/>
    <x v="16"/>
    <x v="0"/>
    <x v="10"/>
    <d v="2026-04-13T08:24:00"/>
    <d v="2026-04-13T10:58:00"/>
    <x v="4"/>
    <n v="3360"/>
    <s v="POLIÉSTER FIADO AZUL BEBÊ"/>
    <x v="0"/>
    <x v="0"/>
    <x v="0"/>
    <x v="10"/>
    <x v="8"/>
    <x v="10"/>
  </r>
  <r>
    <x v="2"/>
    <x v="17"/>
    <x v="1"/>
    <x v="5"/>
    <d v="2026-04-13T09:37:00"/>
    <d v="2026-04-13T12:38:00"/>
    <x v="3"/>
    <n v="1652"/>
    <s v="M/M 24/1 18 TRAMAS AZUL CELESTE"/>
    <x v="0"/>
    <x v="1"/>
    <x v="1"/>
    <x v="11"/>
    <x v="9"/>
    <x v="11"/>
  </r>
  <r>
    <x v="2"/>
    <x v="18"/>
    <x v="0"/>
    <x v="2"/>
    <d v="2026-04-13T10:05:00"/>
    <d v="2026-04-13T16:32:00"/>
    <x v="3"/>
    <n v="1459"/>
    <s v="M/M 24/1 18 TRAMAS TURQUESA"/>
    <x v="0"/>
    <x v="2"/>
    <x v="2"/>
    <x v="12"/>
    <x v="10"/>
    <x v="12"/>
  </r>
  <r>
    <x v="4"/>
    <x v="19"/>
    <x v="0"/>
    <x v="1"/>
    <d v="2026-04-13T10:18:00"/>
    <d v="2026-04-13T15:03:00"/>
    <x v="1"/>
    <n v="11944"/>
    <s v="VISCOLYCRA VORTEX PRETO"/>
    <x v="0"/>
    <x v="2"/>
    <x v="0"/>
    <x v="13"/>
    <x v="11"/>
    <x v="13"/>
  </r>
  <r>
    <x v="4"/>
    <x v="20"/>
    <x v="0"/>
    <x v="1"/>
    <d v="2026-04-13T10:18:00"/>
    <d v="2026-04-13T15:03:00"/>
    <x v="1"/>
    <n v="11944"/>
    <s v="VISCOLYCRA VORTEX PRETO"/>
    <x v="0"/>
    <x v="2"/>
    <x v="0"/>
    <x v="13"/>
    <x v="11"/>
    <x v="13"/>
  </r>
  <r>
    <x v="4"/>
    <x v="21"/>
    <x v="0"/>
    <x v="1"/>
    <d v="2026-04-13T10:18:00"/>
    <d v="2026-04-13T15:03:00"/>
    <x v="1"/>
    <n v="11944"/>
    <s v="VISCOLYCRA VORTEX PRETO"/>
    <x v="0"/>
    <x v="2"/>
    <x v="0"/>
    <x v="13"/>
    <x v="11"/>
    <x v="13"/>
  </r>
  <r>
    <x v="2"/>
    <x v="22"/>
    <x v="0"/>
    <x v="7"/>
    <d v="2026-04-13T10:21:00"/>
    <d v="2026-04-13T13:35:00"/>
    <x v="5"/>
    <n v="2744"/>
    <s v="HELANCA SUEDINE 100%CO ROSA BEBÊ"/>
    <x v="0"/>
    <x v="2"/>
    <x v="0"/>
    <x v="14"/>
    <x v="6"/>
    <x v="14"/>
  </r>
  <r>
    <x v="5"/>
    <x v="23"/>
    <x v="0"/>
    <x v="0"/>
    <d v="2026-04-13T10:25:00"/>
    <d v="2026-04-13T17:12:00"/>
    <x v="3"/>
    <n v="1429"/>
    <s v="M/M 24/1 18 TRAMAS VERMELHO"/>
    <x v="0"/>
    <x v="2"/>
    <x v="2"/>
    <x v="15"/>
    <x v="12"/>
    <x v="15"/>
  </r>
  <r>
    <x v="5"/>
    <x v="24"/>
    <x v="0"/>
    <x v="0"/>
    <d v="2026-04-13T10:25:00"/>
    <d v="2026-04-13T17:12:00"/>
    <x v="3"/>
    <n v="1429"/>
    <s v="M/M 24/1 18 TRAMAS VERMELHO"/>
    <x v="0"/>
    <x v="2"/>
    <x v="2"/>
    <x v="15"/>
    <x v="12"/>
    <x v="15"/>
  </r>
  <r>
    <x v="2"/>
    <x v="25"/>
    <x v="0"/>
    <x v="10"/>
    <d v="2026-04-13T10:59:00"/>
    <d v="2026-04-13T14:12:00"/>
    <x v="4"/>
    <n v="2963"/>
    <s v="POLIÉSTER FIADO VERDE BEBÊ"/>
    <x v="0"/>
    <x v="2"/>
    <x v="2"/>
    <x v="16"/>
    <x v="13"/>
    <x v="16"/>
  </r>
  <r>
    <x v="2"/>
    <x v="26"/>
    <x v="1"/>
    <x v="6"/>
    <d v="2026-04-13T11:26:00"/>
    <d v="2026-04-13T16:01:00"/>
    <x v="1"/>
    <n v="11944"/>
    <s v="VISCOLYCRA VORTEX PRETO"/>
    <x v="0"/>
    <x v="1"/>
    <x v="1"/>
    <x v="11"/>
    <x v="9"/>
    <x v="11"/>
  </r>
  <r>
    <x v="2"/>
    <x v="27"/>
    <x v="1"/>
    <x v="9"/>
    <d v="2026-04-13T11:31:00"/>
    <d v="2026-04-13T14:49:00"/>
    <x v="6"/>
    <n v="22636"/>
    <s v="RIBANA 2X1 24/1 OE BRANCO"/>
    <x v="0"/>
    <x v="1"/>
    <x v="1"/>
    <x v="11"/>
    <x v="9"/>
    <x v="11"/>
  </r>
  <r>
    <x v="2"/>
    <x v="28"/>
    <x v="1"/>
    <x v="4"/>
    <d v="2026-04-13T12:08:00"/>
    <d v="2026-04-13T16:43:00"/>
    <x v="1"/>
    <n v="11944"/>
    <s v="VISCOLYCRA VORTEX PRETO"/>
    <x v="0"/>
    <x v="1"/>
    <x v="1"/>
    <x v="11"/>
    <x v="9"/>
    <x v="11"/>
  </r>
  <r>
    <x v="2"/>
    <x v="29"/>
    <x v="1"/>
    <x v="5"/>
    <d v="2026-04-13T12:39:00"/>
    <d v="2026-04-13T16:35:00"/>
    <x v="3"/>
    <n v="22676"/>
    <s v="M/M 24/1 18 TRAMAS PISTACHE"/>
    <x v="0"/>
    <x v="1"/>
    <x v="1"/>
    <x v="11"/>
    <x v="9"/>
    <x v="11"/>
  </r>
  <r>
    <x v="6"/>
    <x v="30"/>
    <x v="1"/>
    <x v="3"/>
    <d v="2026-04-13T12:58:00"/>
    <d v="2026-04-13T20:05:00"/>
    <x v="0"/>
    <n v="1294"/>
    <s v="M/M 30/1 PENTEADO LILÁS MÉDIO"/>
    <x v="0"/>
    <x v="1"/>
    <x v="1"/>
    <x v="11"/>
    <x v="9"/>
    <x v="11"/>
  </r>
  <r>
    <x v="6"/>
    <x v="31"/>
    <x v="1"/>
    <x v="3"/>
    <d v="2026-04-13T12:58:00"/>
    <d v="2026-04-13T20:05:00"/>
    <x v="6"/>
    <n v="22645"/>
    <s v="RIBANA 2X1 24/1 OE LILÁS MÉDIO"/>
    <x v="0"/>
    <x v="1"/>
    <x v="1"/>
    <x v="11"/>
    <x v="9"/>
    <x v="11"/>
  </r>
  <r>
    <x v="2"/>
    <x v="32"/>
    <x v="1"/>
    <x v="7"/>
    <d v="2026-04-13T13:36:00"/>
    <d v="2026-04-13T16:50:00"/>
    <x v="0"/>
    <n v="1274"/>
    <s v="M/M 30/1 PENTEADO ROSA BEBÊ"/>
    <x v="0"/>
    <x v="1"/>
    <x v="1"/>
    <x v="11"/>
    <x v="9"/>
    <x v="11"/>
  </r>
  <r>
    <x v="2"/>
    <x v="33"/>
    <x v="0"/>
    <x v="8"/>
    <d v="2026-04-13T13:39:00"/>
    <d v="2026-04-13T19:29:00"/>
    <x v="3"/>
    <n v="1499"/>
    <s v="M/M 24/1 18 TRAMAS PINK"/>
    <x v="0"/>
    <x v="2"/>
    <x v="2"/>
    <x v="17"/>
    <x v="14"/>
    <x v="17"/>
  </r>
  <r>
    <x v="2"/>
    <x v="34"/>
    <x v="1"/>
    <x v="10"/>
    <d v="2026-04-13T14:13:00"/>
    <d v="2026-04-13T18:09:00"/>
    <x v="7"/>
    <n v="1260"/>
    <s v="M/M 24/1 14 TRAMAS VERDE BEBÊ"/>
    <x v="0"/>
    <x v="1"/>
    <x v="1"/>
    <x v="11"/>
    <x v="9"/>
    <x v="11"/>
  </r>
  <r>
    <x v="2"/>
    <x v="35"/>
    <x v="1"/>
    <x v="9"/>
    <d v="2026-04-13T14:50:00"/>
    <d v="2026-04-13T17:50:00"/>
    <x v="3"/>
    <n v="354"/>
    <s v="M/M 24/1 18 TRAMAS AMARELO BEBÊ"/>
    <x v="1"/>
    <x v="0"/>
    <x v="1"/>
    <x v="11"/>
    <x v="9"/>
    <x v="11"/>
  </r>
  <r>
    <x v="7"/>
    <x v="36"/>
    <x v="1"/>
    <x v="1"/>
    <d v="2026-04-13T15:04:00"/>
    <d v="2026-04-13T19:40:00"/>
    <x v="8"/>
    <n v="952"/>
    <s v="SUPLEX ESPECIAL PRETO"/>
    <x v="0"/>
    <x v="1"/>
    <x v="1"/>
    <x v="11"/>
    <x v="9"/>
    <x v="11"/>
  </r>
  <r>
    <x v="7"/>
    <x v="37"/>
    <x v="1"/>
    <x v="1"/>
    <d v="2026-04-13T15:04:00"/>
    <d v="2026-04-13T19:40:00"/>
    <x v="8"/>
    <n v="952"/>
    <s v="SUPLEX ESPECIAL PRETO"/>
    <x v="0"/>
    <x v="1"/>
    <x v="1"/>
    <x v="11"/>
    <x v="9"/>
    <x v="11"/>
  </r>
  <r>
    <x v="2"/>
    <x v="38"/>
    <x v="1"/>
    <x v="6"/>
    <d v="2026-04-13T16:02:00"/>
    <d v="2026-04-13T20:37:00"/>
    <x v="1"/>
    <n v="11944"/>
    <s v="VISCOLYCRA VORTEX PRETO"/>
    <x v="0"/>
    <x v="1"/>
    <x v="1"/>
    <x v="11"/>
    <x v="9"/>
    <x v="11"/>
  </r>
  <r>
    <x v="8"/>
    <x v="39"/>
    <x v="1"/>
    <x v="2"/>
    <d v="2026-04-13T16:33:00"/>
    <d v="2026-04-13T23:00:00"/>
    <x v="0"/>
    <n v="1372"/>
    <s v="M/M 30/1 PENTEADO VERDE ESPECIAL"/>
    <x v="1"/>
    <x v="3"/>
    <x v="1"/>
    <x v="11"/>
    <x v="9"/>
    <x v="11"/>
  </r>
  <r>
    <x v="8"/>
    <x v="40"/>
    <x v="1"/>
    <x v="2"/>
    <d v="2026-04-13T16:33:00"/>
    <d v="2026-04-13T23:00:00"/>
    <x v="6"/>
    <n v="23284"/>
    <s v="RIBANA 2X1 24/1 OE VERDE ESPECIAL"/>
    <x v="1"/>
    <x v="3"/>
    <x v="1"/>
    <x v="11"/>
    <x v="9"/>
    <x v="11"/>
  </r>
  <r>
    <x v="2"/>
    <x v="41"/>
    <x v="1"/>
    <x v="5"/>
    <d v="2026-04-13T16:36:00"/>
    <d v="2026-04-13T21:46:00"/>
    <x v="1"/>
    <n v="22635"/>
    <s v="VISCOLYCRA VORTEX PISTACHE"/>
    <x v="0"/>
    <x v="1"/>
    <x v="1"/>
    <x v="11"/>
    <x v="9"/>
    <x v="11"/>
  </r>
  <r>
    <x v="2"/>
    <x v="42"/>
    <x v="1"/>
    <x v="4"/>
    <d v="2026-04-13T16:44:00"/>
    <d v="2026-04-13T20:41:00"/>
    <x v="5"/>
    <n v="1841"/>
    <s v="HELANCA SUEDINE 100%CO PRETO"/>
    <x v="0"/>
    <x v="1"/>
    <x v="1"/>
    <x v="11"/>
    <x v="9"/>
    <x v="11"/>
  </r>
  <r>
    <x v="9"/>
    <x v="43"/>
    <x v="1"/>
    <x v="0"/>
    <d v="2026-04-13T17:13:00"/>
    <d v="2026-04-14T00:00:00"/>
    <x v="3"/>
    <n v="1429"/>
    <s v="M/M 24/1 18 TRAMAS VERMELHO"/>
    <x v="0"/>
    <x v="1"/>
    <x v="1"/>
    <x v="11"/>
    <x v="9"/>
    <x v="11"/>
  </r>
  <r>
    <x v="9"/>
    <x v="44"/>
    <x v="1"/>
    <x v="0"/>
    <d v="2026-04-13T17:13:00"/>
    <d v="2026-04-14T00:00:00"/>
    <x v="3"/>
    <n v="1429"/>
    <s v="M/M 24/1 18 TRAMAS VERMELHO"/>
    <x v="0"/>
    <x v="1"/>
    <x v="1"/>
    <x v="11"/>
    <x v="9"/>
    <x v="11"/>
  </r>
  <r>
    <x v="2"/>
    <x v="45"/>
    <x v="1"/>
    <x v="9"/>
    <d v="2026-04-13T17:51:00"/>
    <d v="2026-04-13T20:51:00"/>
    <x v="3"/>
    <n v="354"/>
    <s v="M/M 24/1 18 TRAMAS AMARELO BEBÊ"/>
    <x v="0"/>
    <x v="1"/>
    <x v="1"/>
    <x v="11"/>
    <x v="9"/>
    <x v="11"/>
  </r>
  <r>
    <x v="10"/>
    <x v="46"/>
    <x v="1"/>
    <x v="10"/>
    <d v="2026-04-13T18:10:00"/>
    <d v="2026-04-13T21:05:00"/>
    <x v="0"/>
    <n v="1322"/>
    <s v="M/M 30/1 PENTEADO ROSA CHICLETE"/>
    <x v="0"/>
    <x v="1"/>
    <x v="1"/>
    <x v="11"/>
    <x v="9"/>
    <x v="11"/>
  </r>
  <r>
    <x v="10"/>
    <x v="47"/>
    <x v="1"/>
    <x v="10"/>
    <d v="2026-04-13T18:10:00"/>
    <d v="2026-04-13T21:05:00"/>
    <x v="6"/>
    <n v="22648"/>
    <s v="RIBANA 2X1 24/1 OE ROSA CHICLETE"/>
    <x v="0"/>
    <x v="1"/>
    <x v="1"/>
    <x v="11"/>
    <x v="9"/>
    <x v="11"/>
  </r>
  <r>
    <x v="2"/>
    <x v="48"/>
    <x v="1"/>
    <x v="8"/>
    <d v="2026-04-13T19:30:00"/>
    <d v="2026-04-14T01:20:00"/>
    <x v="3"/>
    <n v="1499"/>
    <s v="M/M 24/1 18 TRAMAS PINK"/>
    <x v="0"/>
    <x v="1"/>
    <x v="1"/>
    <x v="11"/>
    <x v="9"/>
    <x v="11"/>
  </r>
  <r>
    <x v="11"/>
    <x v="49"/>
    <x v="1"/>
    <x v="1"/>
    <d v="2026-04-13T19:41:00"/>
    <d v="2026-04-14T01:07:00"/>
    <x v="1"/>
    <n v="12247"/>
    <s v="VISCOLYCRA VORTEX MARINHO"/>
    <x v="1"/>
    <x v="3"/>
    <x v="1"/>
    <x v="11"/>
    <x v="9"/>
    <x v="11"/>
  </r>
  <r>
    <x v="11"/>
    <x v="50"/>
    <x v="1"/>
    <x v="1"/>
    <d v="2026-04-13T19:41:00"/>
    <d v="2026-04-14T01:07:00"/>
    <x v="1"/>
    <n v="12247"/>
    <s v="VISCOLYCRA VORTEX MARINHO"/>
    <x v="0"/>
    <x v="1"/>
    <x v="1"/>
    <x v="11"/>
    <x v="9"/>
    <x v="11"/>
  </r>
  <r>
    <x v="2"/>
    <x v="51"/>
    <x v="1"/>
    <x v="7"/>
    <d v="2026-04-13T20:03:00"/>
    <d v="2026-04-13T22:26:00"/>
    <x v="3"/>
    <n v="254"/>
    <s v="M/M 24/1 18 TRAMAS MARFIM"/>
    <x v="0"/>
    <x v="1"/>
    <x v="1"/>
    <x v="11"/>
    <x v="9"/>
    <x v="11"/>
  </r>
  <r>
    <x v="2"/>
    <x v="52"/>
    <x v="1"/>
    <x v="3"/>
    <d v="2026-04-13T20:06:00"/>
    <d v="2026-04-13T23:07:00"/>
    <x v="9"/>
    <n v="2956"/>
    <s v="M/M 30/1 CARDADA OE AZUL CELESTE"/>
    <x v="1"/>
    <x v="3"/>
    <x v="1"/>
    <x v="11"/>
    <x v="9"/>
    <x v="11"/>
  </r>
  <r>
    <x v="2"/>
    <x v="53"/>
    <x v="1"/>
    <x v="6"/>
    <d v="2026-04-13T20:38:00"/>
    <d v="2026-04-14T01:04:00"/>
    <x v="8"/>
    <n v="967"/>
    <s v="SUPLEX ESPECIAL MARINHO"/>
    <x v="1"/>
    <x v="3"/>
    <x v="1"/>
    <x v="11"/>
    <x v="9"/>
    <x v="11"/>
  </r>
  <r>
    <x v="2"/>
    <x v="54"/>
    <x v="1"/>
    <x v="4"/>
    <d v="2026-04-13T20:42:00"/>
    <d v="2026-04-14T00:39:00"/>
    <x v="9"/>
    <n v="1807"/>
    <s v="M/M 30/1 CARDADA OE PRETO"/>
    <x v="0"/>
    <x v="1"/>
    <x v="1"/>
    <x v="11"/>
    <x v="9"/>
    <x v="11"/>
  </r>
  <r>
    <x v="2"/>
    <x v="55"/>
    <x v="1"/>
    <x v="9"/>
    <d v="2026-04-13T20:52:00"/>
    <d v="2026-04-13T23:01:00"/>
    <x v="9"/>
    <n v="2426"/>
    <s v="M/M 30/1 CARDADA OE MARFIM"/>
    <x v="1"/>
    <x v="3"/>
    <x v="1"/>
    <x v="11"/>
    <x v="9"/>
    <x v="11"/>
  </r>
  <r>
    <x v="2"/>
    <x v="56"/>
    <x v="1"/>
    <x v="10"/>
    <d v="2026-04-13T21:06:00"/>
    <d v="2026-04-13T23:30:00"/>
    <x v="4"/>
    <n v="2960"/>
    <s v="POLIÉSTER FIADO SALMAO BEBÊ"/>
    <x v="0"/>
    <x v="1"/>
    <x v="1"/>
    <x v="11"/>
    <x v="9"/>
    <x v="11"/>
  </r>
  <r>
    <x v="2"/>
    <x v="57"/>
    <x v="1"/>
    <x v="7"/>
    <d v="2026-04-13T22:27:00"/>
    <d v="2026-04-14T00:07:00"/>
    <x v="4"/>
    <n v="1825"/>
    <s v="POLIÉSTER FIADO BRANCO"/>
    <x v="1"/>
    <x v="3"/>
    <x v="1"/>
    <x v="11"/>
    <x v="9"/>
    <x v="11"/>
  </r>
  <r>
    <x v="2"/>
    <x v="58"/>
    <x v="1"/>
    <x v="2"/>
    <d v="2026-04-13T23:01:00"/>
    <d v="2026-04-14T05:28:00"/>
    <x v="3"/>
    <n v="1520"/>
    <s v="M/M 24/1 18 TRAMAS VERDE JADE"/>
    <x v="1"/>
    <x v="3"/>
    <x v="1"/>
    <x v="11"/>
    <x v="9"/>
    <x v="11"/>
  </r>
  <r>
    <x v="2"/>
    <x v="59"/>
    <x v="1"/>
    <x v="9"/>
    <d v="2026-04-13T23:02:00"/>
    <d v="2026-04-14T02:02:00"/>
    <x v="3"/>
    <n v="404"/>
    <s v="M/M 24/1 18 TRAMAS SALMAO BEBÊ"/>
    <x v="1"/>
    <x v="3"/>
    <x v="1"/>
    <x v="11"/>
    <x v="9"/>
    <x v="11"/>
  </r>
  <r>
    <x v="2"/>
    <x v="60"/>
    <x v="1"/>
    <x v="3"/>
    <d v="2026-04-13T23:08:00"/>
    <d v="2026-04-14T02:09:00"/>
    <x v="3"/>
    <n v="1652"/>
    <s v="M/M 24/1 18 TRAMAS AZUL CELESTE"/>
    <x v="1"/>
    <x v="3"/>
    <x v="1"/>
    <x v="11"/>
    <x v="9"/>
    <x v="11"/>
  </r>
  <r>
    <x v="12"/>
    <x v="61"/>
    <x v="1"/>
    <x v="0"/>
    <d v="2026-04-14T00:01:00"/>
    <d v="2026-04-14T07:18:00"/>
    <x v="0"/>
    <n v="7409"/>
    <s v="M/M 30/1 PENTEADO CARAMELO"/>
    <x v="1"/>
    <x v="3"/>
    <x v="1"/>
    <x v="11"/>
    <x v="9"/>
    <x v="11"/>
  </r>
  <r>
    <x v="12"/>
    <x v="62"/>
    <x v="1"/>
    <x v="0"/>
    <d v="2026-04-14T00:01:00"/>
    <d v="2026-04-14T07:18:00"/>
    <x v="6"/>
    <n v="22647"/>
    <s v="RIBANA 2X1 24/1 OE CARAMELO"/>
    <x v="1"/>
    <x v="3"/>
    <x v="1"/>
    <x v="11"/>
    <x v="9"/>
    <x v="11"/>
  </r>
  <r>
    <x v="12"/>
    <x v="63"/>
    <x v="1"/>
    <x v="0"/>
    <d v="2026-04-14T00:01:00"/>
    <d v="2026-04-14T07:18:00"/>
    <x v="0"/>
    <n v="7409"/>
    <s v="M/M 30/1 PENTEADO CARAMELO"/>
    <x v="1"/>
    <x v="0"/>
    <x v="1"/>
    <x v="11"/>
    <x v="9"/>
    <x v="11"/>
  </r>
  <r>
    <x v="12"/>
    <x v="64"/>
    <x v="1"/>
    <x v="0"/>
    <d v="2026-04-14T00:01:00"/>
    <d v="2026-04-14T07:18:00"/>
    <x v="6"/>
    <n v="22647"/>
    <s v="RIBANA 2X1 24/1 OE CARAMELO"/>
    <x v="1"/>
    <x v="3"/>
    <x v="1"/>
    <x v="11"/>
    <x v="9"/>
    <x v="11"/>
  </r>
  <r>
    <x v="13"/>
    <x v="65"/>
    <x v="1"/>
    <x v="7"/>
    <d v="2026-04-14T00:08:00"/>
    <d v="2026-04-14T03:42:00"/>
    <x v="6"/>
    <n v="22636"/>
    <s v="RIBANA 2X1 24/1 OE BRANCO"/>
    <x v="1"/>
    <x v="3"/>
    <x v="1"/>
    <x v="11"/>
    <x v="9"/>
    <x v="11"/>
  </r>
  <r>
    <x v="13"/>
    <x v="66"/>
    <x v="1"/>
    <x v="7"/>
    <d v="2026-04-14T00:08:00"/>
    <d v="2026-04-14T03:42:00"/>
    <x v="0"/>
    <n v="208"/>
    <s v="M/M 30/1 PENTEADO BRANCO"/>
    <x v="1"/>
    <x v="3"/>
    <x v="1"/>
    <x v="11"/>
    <x v="9"/>
    <x v="11"/>
  </r>
  <r>
    <x v="2"/>
    <x v="67"/>
    <x v="1"/>
    <x v="6"/>
    <d v="2026-04-14T01:05:00"/>
    <d v="2026-04-14T07:06:00"/>
    <x v="0"/>
    <n v="1342"/>
    <s v="M/M 30/1 PENTEADO MARINHO"/>
    <x v="0"/>
    <x v="1"/>
    <x v="1"/>
    <x v="11"/>
    <x v="9"/>
    <x v="11"/>
  </r>
  <r>
    <x v="14"/>
    <x v="68"/>
    <x v="1"/>
    <x v="1"/>
    <d v="2026-04-14T01:08:00"/>
    <d v="2026-04-14T09:04:00"/>
    <x v="10"/>
    <n v="1344"/>
    <s v="M/M 30/1 PV MARINHO"/>
    <x v="1"/>
    <x v="3"/>
    <x v="1"/>
    <x v="11"/>
    <x v="9"/>
    <x v="11"/>
  </r>
  <r>
    <x v="14"/>
    <x v="69"/>
    <x v="1"/>
    <x v="1"/>
    <d v="2026-04-14T01:08:00"/>
    <d v="2026-04-14T09:04:00"/>
    <x v="10"/>
    <n v="1344"/>
    <s v="M/M 30/1 PV MARINHO"/>
    <x v="1"/>
    <x v="3"/>
    <x v="1"/>
    <x v="11"/>
    <x v="9"/>
    <x v="11"/>
  </r>
  <r>
    <x v="2"/>
    <x v="70"/>
    <x v="1"/>
    <x v="8"/>
    <d v="2026-04-14T01:21:00"/>
    <d v="2026-04-14T08:28:00"/>
    <x v="3"/>
    <n v="9453"/>
    <s v="M/M 24/1 18 TRAMAS CARAMELO"/>
    <x v="1"/>
    <x v="3"/>
    <x v="1"/>
    <x v="11"/>
    <x v="9"/>
    <x v="11"/>
  </r>
  <r>
    <x v="2"/>
    <x v="71"/>
    <x v="1"/>
    <x v="9"/>
    <d v="2026-04-14T02:03:00"/>
    <d v="2026-04-14T05:04:00"/>
    <x v="3"/>
    <n v="1309"/>
    <s v="M/M 24/1 18 TRAMAS FERRUGEM CLARO"/>
    <x v="1"/>
    <x v="3"/>
    <x v="1"/>
    <x v="11"/>
    <x v="9"/>
    <x v="11"/>
  </r>
  <r>
    <x v="2"/>
    <x v="72"/>
    <x v="1"/>
    <x v="3"/>
    <d v="2026-04-14T02:10:00"/>
    <d v="2026-04-14T05:11:00"/>
    <x v="3"/>
    <n v="1251"/>
    <s v="M/M 24/1 18 TRAMAS CINZA CLARO"/>
    <x v="1"/>
    <x v="3"/>
    <x v="1"/>
    <x v="11"/>
    <x v="9"/>
    <x v="11"/>
  </r>
  <r>
    <x v="2"/>
    <x v="73"/>
    <x v="1"/>
    <x v="5"/>
    <d v="2026-04-14T03:03:00"/>
    <d v="2026-04-14T05:58:00"/>
    <x v="3"/>
    <n v="1281"/>
    <s v="M/M 24/1 18 TRAMAS LILÁS CLARO"/>
    <x v="1"/>
    <x v="3"/>
    <x v="1"/>
    <x v="11"/>
    <x v="9"/>
    <x v="11"/>
  </r>
  <r>
    <x v="15"/>
    <x v="74"/>
    <x v="1"/>
    <x v="7"/>
    <d v="2026-04-14T03:43:00"/>
    <d v="2026-04-14T07:17:00"/>
    <x v="0"/>
    <n v="208"/>
    <s v="M/M 30/1 PENTEADO BRANCO"/>
    <x v="1"/>
    <x v="3"/>
    <x v="1"/>
    <x v="11"/>
    <x v="9"/>
    <x v="11"/>
  </r>
  <r>
    <x v="15"/>
    <x v="75"/>
    <x v="1"/>
    <x v="7"/>
    <d v="2026-04-14T03:43:00"/>
    <d v="2026-04-14T07:17:00"/>
    <x v="6"/>
    <n v="22636"/>
    <s v="RIBANA 2X1 24/1 OE BRANCO"/>
    <x v="1"/>
    <x v="3"/>
    <x v="1"/>
    <x v="11"/>
    <x v="9"/>
    <x v="11"/>
  </r>
  <r>
    <x v="2"/>
    <x v="76"/>
    <x v="1"/>
    <x v="9"/>
    <d v="2026-04-14T05:05:00"/>
    <d v="2026-04-14T08:06:00"/>
    <x v="3"/>
    <n v="2647"/>
    <s v="M/M 24/1 18 TRAMAS CAQUI"/>
    <x v="1"/>
    <x v="3"/>
    <x v="1"/>
    <x v="11"/>
    <x v="9"/>
    <x v="11"/>
  </r>
  <r>
    <x v="2"/>
    <x v="77"/>
    <x v="1"/>
    <x v="3"/>
    <d v="2026-04-14T05:12:00"/>
    <d v="2026-04-14T09:07:00"/>
    <x v="2"/>
    <n v="844"/>
    <s v="HELANQUINHA DRY FIT CINZA CLARO"/>
    <x v="1"/>
    <x v="3"/>
    <x v="1"/>
    <x v="11"/>
    <x v="9"/>
    <x v="11"/>
  </r>
  <r>
    <x v="2"/>
    <x v="78"/>
    <x v="1"/>
    <x v="2"/>
    <d v="2026-04-14T05:29:00"/>
    <d v="2026-04-14T09:24:00"/>
    <x v="2"/>
    <n v="979"/>
    <s v="HELANQUINHA DRY FIT CHUMBO"/>
    <x v="1"/>
    <x v="3"/>
    <x v="1"/>
    <x v="11"/>
    <x v="9"/>
    <x v="11"/>
  </r>
  <r>
    <x v="2"/>
    <x v="79"/>
    <x v="1"/>
    <x v="5"/>
    <d v="2026-04-14T05:59:00"/>
    <d v="2026-04-14T09:55:00"/>
    <x v="3"/>
    <n v="1261"/>
    <s v="M/M 24/1 18 TRAMAS VERDE BEBÊ"/>
    <x v="1"/>
    <x v="3"/>
    <x v="1"/>
    <x v="11"/>
    <x v="9"/>
    <x v="11"/>
  </r>
  <r>
    <x v="16"/>
    <x v="80"/>
    <x v="1"/>
    <x v="0"/>
    <d v="2026-04-14T07:19:00"/>
    <d v="2026-04-14T15:15:00"/>
    <x v="10"/>
    <n v="1414"/>
    <s v="M/M 30/1 PV AMARELO CANÁRIO"/>
    <x v="1"/>
    <x v="3"/>
    <x v="1"/>
    <x v="11"/>
    <x v="9"/>
    <x v="11"/>
  </r>
  <r>
    <x v="16"/>
    <x v="81"/>
    <x v="1"/>
    <x v="0"/>
    <d v="2026-04-14T07:19:00"/>
    <d v="2026-04-14T15:15:00"/>
    <x v="10"/>
    <n v="1414"/>
    <s v="M/M 30/1 PV AMARELO CANÁRIO"/>
    <x v="1"/>
    <x v="3"/>
    <x v="1"/>
    <x v="11"/>
    <x v="9"/>
    <x v="11"/>
  </r>
  <r>
    <x v="2"/>
    <x v="82"/>
    <x v="1"/>
    <x v="9"/>
    <d v="2026-04-14T08:07:00"/>
    <d v="2026-04-14T11:02:00"/>
    <x v="3"/>
    <n v="1319"/>
    <s v="M/M 24/1 18 TRAMAS ROSA CHICLETE"/>
    <x v="1"/>
    <x v="3"/>
    <x v="1"/>
    <x v="11"/>
    <x v="9"/>
    <x v="11"/>
  </r>
  <r>
    <x v="2"/>
    <x v="83"/>
    <x v="1"/>
    <x v="8"/>
    <d v="2026-04-14T08:29:00"/>
    <d v="2026-04-14T14:19:00"/>
    <x v="3"/>
    <n v="1499"/>
    <s v="M/M 24/1 18 TRAMAS PINK"/>
    <x v="1"/>
    <x v="3"/>
    <x v="1"/>
    <x v="11"/>
    <x v="9"/>
    <x v="11"/>
  </r>
  <r>
    <x v="17"/>
    <x v="84"/>
    <x v="1"/>
    <x v="1"/>
    <d v="2026-04-14T09:05:00"/>
    <d v="2026-04-14T16:47:00"/>
    <x v="0"/>
    <n v="1442"/>
    <s v="M/M 30/1 PENTEADO ROYAL"/>
    <x v="1"/>
    <x v="3"/>
    <x v="1"/>
    <x v="11"/>
    <x v="9"/>
    <x v="11"/>
  </r>
  <r>
    <x v="17"/>
    <x v="85"/>
    <x v="1"/>
    <x v="1"/>
    <d v="2026-04-14T09:05:00"/>
    <d v="2026-04-14T16:47:00"/>
    <x v="0"/>
    <n v="1442"/>
    <s v="M/M 30/1 PENTEADO ROYAL"/>
    <x v="1"/>
    <x v="3"/>
    <x v="1"/>
    <x v="11"/>
    <x v="9"/>
    <x v="11"/>
  </r>
  <r>
    <x v="2"/>
    <x v="86"/>
    <x v="1"/>
    <x v="3"/>
    <d v="2026-04-14T09:08:00"/>
    <d v="2026-04-14T12:09:00"/>
    <x v="3"/>
    <n v="1251"/>
    <s v="M/M 24/1 18 TRAMAS CINZA CLARO"/>
    <x v="1"/>
    <x v="3"/>
    <x v="1"/>
    <x v="11"/>
    <x v="9"/>
    <x v="11"/>
  </r>
  <r>
    <x v="2"/>
    <x v="87"/>
    <x v="1"/>
    <x v="2"/>
    <d v="2026-04-14T09:25:00"/>
    <d v="2026-04-14T13:42:00"/>
    <x v="2"/>
    <n v="965"/>
    <s v="HELANQUINHA DRY FIT MARINHO"/>
    <x v="1"/>
    <x v="3"/>
    <x v="1"/>
    <x v="11"/>
    <x v="9"/>
    <x v="11"/>
  </r>
  <r>
    <x v="2"/>
    <x v="88"/>
    <x v="1"/>
    <x v="5"/>
    <d v="2026-04-14T09:56:00"/>
    <d v="2026-04-14T15:18:00"/>
    <x v="11"/>
    <n v="5498"/>
    <s v="COTTON 6% OE RAMADO VERDE BEBÊ"/>
    <x v="1"/>
    <x v="3"/>
    <x v="1"/>
    <x v="11"/>
    <x v="9"/>
    <x v="11"/>
  </r>
  <r>
    <x v="2"/>
    <x v="89"/>
    <x v="1"/>
    <x v="9"/>
    <d v="2026-04-14T11:03:00"/>
    <d v="2026-04-14T13:58:00"/>
    <x v="3"/>
    <n v="1319"/>
    <s v="M/M 24/1 18 TRAMAS ROSA CHICLETE"/>
    <x v="1"/>
    <x v="3"/>
    <x v="1"/>
    <x v="11"/>
    <x v="9"/>
    <x v="11"/>
  </r>
  <r>
    <x v="2"/>
    <x v="90"/>
    <x v="1"/>
    <x v="3"/>
    <d v="2026-04-14T12:10:00"/>
    <d v="2026-04-14T15:11:00"/>
    <x v="3"/>
    <n v="1251"/>
    <s v="M/M 24/1 18 TRAMAS CINZA CLARO"/>
    <x v="1"/>
    <x v="3"/>
    <x v="1"/>
    <x v="11"/>
    <x v="9"/>
    <x v="11"/>
  </r>
  <r>
    <x v="2"/>
    <x v="91"/>
    <x v="1"/>
    <x v="2"/>
    <d v="2026-04-14T13:43:00"/>
    <d v="2026-04-14T17:18:00"/>
    <x v="2"/>
    <n v="950"/>
    <s v="HELANQUINHA DRY FIT PRETO"/>
    <x v="1"/>
    <x v="3"/>
    <x v="1"/>
    <x v="11"/>
    <x v="9"/>
    <x v="11"/>
  </r>
  <r>
    <x v="2"/>
    <x v="92"/>
    <x v="1"/>
    <x v="9"/>
    <d v="2026-04-14T13:59:00"/>
    <d v="2026-04-14T17:26:00"/>
    <x v="11"/>
    <n v="932"/>
    <s v="COTTON 6% OE RAMADO ROSA CHICLETE"/>
    <x v="1"/>
    <x v="3"/>
    <x v="1"/>
    <x v="11"/>
    <x v="9"/>
    <x v="11"/>
  </r>
  <r>
    <x v="2"/>
    <x v="93"/>
    <x v="1"/>
    <x v="8"/>
    <d v="2026-04-14T14:20:00"/>
    <d v="2026-04-14T20:10:00"/>
    <x v="3"/>
    <n v="1499"/>
    <s v="M/M 24/1 18 TRAMAS PINK"/>
    <x v="1"/>
    <x v="3"/>
    <x v="1"/>
    <x v="11"/>
    <x v="9"/>
    <x v="11"/>
  </r>
  <r>
    <x v="2"/>
    <x v="94"/>
    <x v="1"/>
    <x v="3"/>
    <d v="2026-04-14T15:12:00"/>
    <d v="2026-04-14T18:13:00"/>
    <x v="3"/>
    <n v="1251"/>
    <s v="M/M 24/1 18 TRAMAS CINZA CLARO"/>
    <x v="1"/>
    <x v="3"/>
    <x v="1"/>
    <x v="11"/>
    <x v="9"/>
    <x v="11"/>
  </r>
  <r>
    <x v="18"/>
    <x v="95"/>
    <x v="1"/>
    <x v="0"/>
    <d v="2026-04-14T15:16:00"/>
    <d v="2026-04-14T22:03:00"/>
    <x v="3"/>
    <n v="1429"/>
    <s v="M/M 24/1 18 TRAMAS VERMELHO"/>
    <x v="1"/>
    <x v="3"/>
    <x v="1"/>
    <x v="11"/>
    <x v="9"/>
    <x v="11"/>
  </r>
  <r>
    <x v="18"/>
    <x v="96"/>
    <x v="1"/>
    <x v="0"/>
    <d v="2026-04-14T15:16:00"/>
    <d v="2026-04-14T22:03:00"/>
    <x v="3"/>
    <n v="1429"/>
    <s v="M/M 24/1 18 TRAMAS VERMELHO"/>
    <x v="1"/>
    <x v="3"/>
    <x v="1"/>
    <x v="11"/>
    <x v="9"/>
    <x v="11"/>
  </r>
  <r>
    <x v="2"/>
    <x v="97"/>
    <x v="1"/>
    <x v="5"/>
    <d v="2026-04-14T15:19:00"/>
    <d v="2026-04-14T19:15:00"/>
    <x v="3"/>
    <n v="1261"/>
    <s v="M/M 24/1 18 TRAMAS VERDE BEBÊ"/>
    <x v="1"/>
    <x v="3"/>
    <x v="1"/>
    <x v="11"/>
    <x v="9"/>
    <x v="11"/>
  </r>
  <r>
    <x v="2"/>
    <x v="98"/>
    <x v="1"/>
    <x v="3"/>
    <d v="2026-04-14T18:14:00"/>
    <d v="2026-04-14T21:15:00"/>
    <x v="3"/>
    <n v="1251"/>
    <s v="M/M 24/1 18 TRAMAS CINZA CLARO"/>
    <x v="1"/>
    <x v="3"/>
    <x v="1"/>
    <x v="11"/>
    <x v="9"/>
    <x v="11"/>
  </r>
  <r>
    <x v="2"/>
    <x v="99"/>
    <x v="1"/>
    <x v="5"/>
    <d v="2026-04-14T19:16:00"/>
    <d v="2026-04-14T22:16:00"/>
    <x v="3"/>
    <n v="404"/>
    <s v="M/M 24/1 18 TRAMAS SALMAO BEBÊ"/>
    <x v="1"/>
    <x v="3"/>
    <x v="1"/>
    <x v="11"/>
    <x v="9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11" firstHeaderRow="1" firstDataRow="1" firstDataCol="1" rowPageCount="1" colPageCount="1"/>
  <pivotFields count="15">
    <pivotField axis="axisRow" showAll="0" defaultSubtotal="0">
      <items count="19">
        <item x="2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showAll="0" sortType="ascending" defaultSubtotal="0">
      <items count="100">
        <item x="0"/>
        <item x="1"/>
        <item x="2"/>
        <item x="3"/>
        <item x="4"/>
        <item x="5"/>
        <item x="6"/>
        <item x="10"/>
        <item x="7"/>
        <item x="8"/>
        <item x="9"/>
        <item x="11"/>
        <item x="12"/>
        <item x="13"/>
        <item x="14"/>
        <item x="15"/>
        <item x="16"/>
        <item x="17"/>
        <item x="18"/>
        <item x="21"/>
        <item x="19"/>
        <item x="20"/>
        <item x="22"/>
        <item x="24"/>
        <item x="23"/>
        <item x="25"/>
        <item x="26"/>
        <item x="27"/>
        <item x="28"/>
        <item x="29"/>
        <item x="31"/>
        <item x="30"/>
        <item x="32"/>
        <item x="33"/>
        <item x="34"/>
        <item x="35"/>
        <item x="36"/>
        <item x="37"/>
        <item x="38"/>
        <item x="39"/>
        <item x="40"/>
        <item x="41"/>
        <item x="42"/>
        <item x="44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4"/>
        <item x="62"/>
        <item x="61"/>
        <item x="63"/>
        <item x="65"/>
        <item x="66"/>
        <item x="67"/>
        <item x="69"/>
        <item x="68"/>
        <item x="70"/>
        <item x="71"/>
        <item x="72"/>
        <item x="73"/>
        <item x="75"/>
        <item x="74"/>
        <item x="76"/>
        <item x="77"/>
        <item x="78"/>
        <item x="79"/>
        <item x="80"/>
        <item x="81"/>
        <item x="82"/>
        <item x="83"/>
        <item x="85"/>
        <item x="84"/>
        <item x="86"/>
        <item x="87"/>
        <item x="88"/>
        <item x="89"/>
        <item x="90"/>
        <item x="91"/>
        <item x="92"/>
        <item x="93"/>
        <item x="94"/>
        <item x="96"/>
        <item x="95"/>
        <item x="97"/>
        <item x="98"/>
        <item x="9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4"/>
        <item x="10"/>
        <item x="6"/>
        <item x="8"/>
        <item x="3"/>
        <item x="2"/>
        <item x="9"/>
        <item x="5"/>
        <item x="1"/>
        <item x="7"/>
        <item x="0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08">
    <i>
      <x/>
    </i>
    <i r="1">
      <x/>
    </i>
    <i r="2">
      <x v="28"/>
    </i>
    <i r="2">
      <x v="42"/>
    </i>
    <i r="2">
      <x v="54"/>
    </i>
    <i>
      <x v="1"/>
    </i>
    <i r="1">
      <x/>
    </i>
    <i r="2">
      <x v="34"/>
    </i>
    <i r="2">
      <x v="56"/>
    </i>
    <i r="1">
      <x v="10"/>
    </i>
    <i r="2">
      <x v="46"/>
    </i>
    <i r="2">
      <x v="47"/>
    </i>
    <i>
      <x v="2"/>
    </i>
    <i r="1">
      <x/>
    </i>
    <i r="2">
      <x v="26"/>
    </i>
    <i r="2">
      <x v="38"/>
    </i>
    <i r="2">
      <x v="53"/>
    </i>
    <i r="2">
      <x v="67"/>
    </i>
    <i>
      <x v="3"/>
    </i>
    <i r="1">
      <x/>
    </i>
    <i r="2">
      <x v="48"/>
    </i>
    <i r="2">
      <x v="70"/>
    </i>
    <i r="2">
      <x v="83"/>
    </i>
    <i r="2">
      <x v="93"/>
    </i>
    <i>
      <x v="4"/>
    </i>
    <i r="1">
      <x/>
    </i>
    <i r="2">
      <x v="52"/>
    </i>
    <i r="2">
      <x v="60"/>
    </i>
    <i r="2">
      <x v="72"/>
    </i>
    <i r="2">
      <x v="77"/>
    </i>
    <i r="2">
      <x v="86"/>
    </i>
    <i r="2">
      <x v="90"/>
    </i>
    <i r="2">
      <x v="94"/>
    </i>
    <i r="2">
      <x v="98"/>
    </i>
    <i r="1">
      <x v="6"/>
    </i>
    <i r="2">
      <x v="30"/>
    </i>
    <i r="2">
      <x v="31"/>
    </i>
    <i>
      <x v="5"/>
    </i>
    <i r="1">
      <x/>
    </i>
    <i r="2">
      <x v="58"/>
    </i>
    <i r="2">
      <x v="78"/>
    </i>
    <i r="2">
      <x v="87"/>
    </i>
    <i r="2">
      <x v="91"/>
    </i>
    <i r="1">
      <x v="8"/>
    </i>
    <i r="2">
      <x v="39"/>
    </i>
    <i r="2">
      <x v="40"/>
    </i>
    <i>
      <x v="6"/>
    </i>
    <i r="1">
      <x/>
    </i>
    <i r="2">
      <x v="27"/>
    </i>
    <i r="2">
      <x v="35"/>
    </i>
    <i r="2">
      <x v="45"/>
    </i>
    <i r="2">
      <x v="55"/>
    </i>
    <i r="2">
      <x v="59"/>
    </i>
    <i r="2">
      <x v="71"/>
    </i>
    <i r="2">
      <x v="76"/>
    </i>
    <i r="2">
      <x v="82"/>
    </i>
    <i r="2">
      <x v="89"/>
    </i>
    <i r="2">
      <x v="92"/>
    </i>
    <i>
      <x v="7"/>
    </i>
    <i r="1">
      <x/>
    </i>
    <i r="2">
      <x v="17"/>
    </i>
    <i r="2">
      <x v="29"/>
    </i>
    <i r="2">
      <x v="41"/>
    </i>
    <i r="2">
      <x v="73"/>
    </i>
    <i r="2">
      <x v="79"/>
    </i>
    <i r="2">
      <x v="88"/>
    </i>
    <i r="2">
      <x v="97"/>
    </i>
    <i r="2">
      <x v="99"/>
    </i>
    <i>
      <x v="8"/>
    </i>
    <i r="1">
      <x v="7"/>
    </i>
    <i r="2">
      <x v="36"/>
    </i>
    <i r="2">
      <x v="37"/>
    </i>
    <i r="1">
      <x v="11"/>
    </i>
    <i r="2">
      <x v="49"/>
    </i>
    <i r="2">
      <x v="50"/>
    </i>
    <i r="1">
      <x v="14"/>
    </i>
    <i r="2">
      <x v="68"/>
    </i>
    <i r="2">
      <x v="69"/>
    </i>
    <i r="1">
      <x v="17"/>
    </i>
    <i r="2">
      <x v="84"/>
    </i>
    <i r="2">
      <x v="85"/>
    </i>
    <i>
      <x v="9"/>
    </i>
    <i r="1">
      <x/>
    </i>
    <i r="2">
      <x v="32"/>
    </i>
    <i r="2">
      <x v="51"/>
    </i>
    <i r="2">
      <x v="57"/>
    </i>
    <i r="1">
      <x v="13"/>
    </i>
    <i r="2">
      <x v="65"/>
    </i>
    <i r="2">
      <x v="66"/>
    </i>
    <i r="1">
      <x v="15"/>
    </i>
    <i r="2">
      <x v="74"/>
    </i>
    <i r="2">
      <x v="75"/>
    </i>
    <i>
      <x v="10"/>
    </i>
    <i r="1">
      <x v="9"/>
    </i>
    <i r="2">
      <x v="43"/>
    </i>
    <i r="2">
      <x v="44"/>
    </i>
    <i r="1">
      <x v="12"/>
    </i>
    <i r="2">
      <x v="62"/>
    </i>
    <i r="2">
      <x v="63"/>
    </i>
    <i r="2">
      <x v="61"/>
    </i>
    <i r="2">
      <x v="64"/>
    </i>
    <i r="1">
      <x v="16"/>
    </i>
    <i r="2">
      <x v="80"/>
    </i>
    <i r="2">
      <x v="81"/>
    </i>
    <i r="1">
      <x v="18"/>
    </i>
    <i r="2">
      <x v="95"/>
    </i>
    <i r="2">
      <x v="96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11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171884</v>
      </c>
      <c r="B6" s="5">
        <v>46125.505555555559</v>
      </c>
    </row>
    <row r="7" spans="1:2" x14ac:dyDescent="0.25">
      <c r="A7" s="4">
        <v>172789</v>
      </c>
      <c r="B7" s="5">
        <v>46125.697222222225</v>
      </c>
    </row>
    <row r="8" spans="1:2" x14ac:dyDescent="0.25">
      <c r="A8" s="4">
        <v>172519</v>
      </c>
      <c r="B8" s="5">
        <v>46125.862500000003</v>
      </c>
    </row>
    <row r="9" spans="1:2" x14ac:dyDescent="0.25">
      <c r="A9" s="2" t="s">
        <v>6</v>
      </c>
      <c r="B9" s="5"/>
    </row>
    <row r="10" spans="1:2" x14ac:dyDescent="0.25">
      <c r="A10" s="3">
        <v>0</v>
      </c>
      <c r="B10" s="5"/>
    </row>
    <row r="11" spans="1:2" x14ac:dyDescent="0.25">
      <c r="A11" s="4">
        <v>172600</v>
      </c>
      <c r="B11" s="5">
        <v>46125.592361111114</v>
      </c>
    </row>
    <row r="12" spans="1:2" x14ac:dyDescent="0.25">
      <c r="A12" s="4">
        <v>172834</v>
      </c>
      <c r="B12" s="5">
        <v>46125.879166666666</v>
      </c>
    </row>
    <row r="13" spans="1:2" x14ac:dyDescent="0.25">
      <c r="A13" s="3">
        <v>185761</v>
      </c>
      <c r="B13" s="5"/>
    </row>
    <row r="14" spans="1:2" x14ac:dyDescent="0.25">
      <c r="A14" s="4">
        <v>173045</v>
      </c>
      <c r="B14" s="5">
        <v>46125.756944444445</v>
      </c>
    </row>
    <row r="15" spans="1:2" x14ac:dyDescent="0.25">
      <c r="A15" s="4">
        <v>173057</v>
      </c>
      <c r="B15" s="5">
        <v>46125.756944444445</v>
      </c>
    </row>
    <row r="16" spans="1:2" x14ac:dyDescent="0.25">
      <c r="A16" s="2" t="s">
        <v>10</v>
      </c>
      <c r="B16" s="5"/>
    </row>
    <row r="17" spans="1:2" x14ac:dyDescent="0.25">
      <c r="A17" s="3">
        <v>0</v>
      </c>
      <c r="B17" s="5"/>
    </row>
    <row r="18" spans="1:2" x14ac:dyDescent="0.25">
      <c r="A18" s="4">
        <v>173094</v>
      </c>
      <c r="B18" s="5">
        <v>46125.476388888892</v>
      </c>
    </row>
    <row r="19" spans="1:2" x14ac:dyDescent="0.25">
      <c r="A19" s="4">
        <v>172995</v>
      </c>
      <c r="B19" s="5">
        <v>46125.668055555558</v>
      </c>
    </row>
    <row r="20" spans="1:2" x14ac:dyDescent="0.25">
      <c r="A20" s="4">
        <v>172795</v>
      </c>
      <c r="B20" s="5">
        <v>46125.859722222223</v>
      </c>
    </row>
    <row r="21" spans="1:2" x14ac:dyDescent="0.25">
      <c r="A21" s="4">
        <v>173142</v>
      </c>
      <c r="B21" s="5">
        <v>46126.045138888891</v>
      </c>
    </row>
    <row r="22" spans="1:2" x14ac:dyDescent="0.25">
      <c r="A22" s="2" t="s">
        <v>11</v>
      </c>
      <c r="B22" s="5"/>
    </row>
    <row r="23" spans="1:2" x14ac:dyDescent="0.25">
      <c r="A23" s="3">
        <v>0</v>
      </c>
      <c r="B23" s="5"/>
    </row>
    <row r="24" spans="1:2" x14ac:dyDescent="0.25">
      <c r="A24" s="4">
        <v>173484</v>
      </c>
      <c r="B24" s="5">
        <v>46125.8125</v>
      </c>
    </row>
    <row r="25" spans="1:2" x14ac:dyDescent="0.25">
      <c r="A25" s="4">
        <v>172985</v>
      </c>
      <c r="B25" s="5">
        <v>46126.056250000001</v>
      </c>
    </row>
    <row r="26" spans="1:2" x14ac:dyDescent="0.25">
      <c r="A26" s="4">
        <v>173485</v>
      </c>
      <c r="B26" s="5">
        <v>46126.353472222225</v>
      </c>
    </row>
    <row r="27" spans="1:2" x14ac:dyDescent="0.25">
      <c r="A27" s="4">
        <v>173486</v>
      </c>
      <c r="B27" s="5">
        <v>46126.597222222219</v>
      </c>
    </row>
    <row r="28" spans="1:2" x14ac:dyDescent="0.25">
      <c r="A28" s="2" t="s">
        <v>7</v>
      </c>
      <c r="B28" s="5"/>
    </row>
    <row r="29" spans="1:2" x14ac:dyDescent="0.25">
      <c r="A29" s="3">
        <v>0</v>
      </c>
      <c r="B29" s="5"/>
    </row>
    <row r="30" spans="1:2" x14ac:dyDescent="0.25">
      <c r="A30" s="4">
        <v>173699</v>
      </c>
      <c r="B30" s="5">
        <v>46125.837500000001</v>
      </c>
    </row>
    <row r="31" spans="1:2" x14ac:dyDescent="0.25">
      <c r="A31" s="4">
        <v>172979</v>
      </c>
      <c r="B31" s="5">
        <v>46125.963888888888</v>
      </c>
    </row>
    <row r="32" spans="1:2" x14ac:dyDescent="0.25">
      <c r="A32" s="4">
        <v>172980</v>
      </c>
      <c r="B32" s="5">
        <v>46126.090277777781</v>
      </c>
    </row>
    <row r="33" spans="1:2" x14ac:dyDescent="0.25">
      <c r="A33" s="4">
        <v>172766</v>
      </c>
      <c r="B33" s="5">
        <v>46126.216666666667</v>
      </c>
    </row>
    <row r="34" spans="1:2" x14ac:dyDescent="0.25">
      <c r="A34" s="4">
        <v>173468</v>
      </c>
      <c r="B34" s="5">
        <v>46126.380555555559</v>
      </c>
    </row>
    <row r="35" spans="1:2" x14ac:dyDescent="0.25">
      <c r="A35" s="4">
        <v>173469</v>
      </c>
      <c r="B35" s="5">
        <v>46126.506944444445</v>
      </c>
    </row>
    <row r="36" spans="1:2" x14ac:dyDescent="0.25">
      <c r="A36" s="4">
        <v>173470</v>
      </c>
      <c r="B36" s="5">
        <v>46126.633333333331</v>
      </c>
    </row>
    <row r="37" spans="1:2" x14ac:dyDescent="0.25">
      <c r="A37" s="4">
        <v>173471</v>
      </c>
      <c r="B37" s="5">
        <v>46126.759722222225</v>
      </c>
    </row>
    <row r="38" spans="1:2" x14ac:dyDescent="0.25">
      <c r="A38" s="3">
        <v>185747</v>
      </c>
      <c r="B38" s="5"/>
    </row>
    <row r="39" spans="1:2" x14ac:dyDescent="0.25">
      <c r="A39" s="4">
        <v>173018</v>
      </c>
      <c r="B39" s="5">
        <v>46125.540277777778</v>
      </c>
    </row>
    <row r="40" spans="1:2" x14ac:dyDescent="0.25">
      <c r="A40" s="4">
        <v>173004</v>
      </c>
      <c r="B40" s="5">
        <v>46125.540277777778</v>
      </c>
    </row>
    <row r="41" spans="1:2" x14ac:dyDescent="0.25">
      <c r="A41" s="2" t="s">
        <v>12</v>
      </c>
      <c r="B41" s="5"/>
    </row>
    <row r="42" spans="1:2" x14ac:dyDescent="0.25">
      <c r="A42" s="3">
        <v>0</v>
      </c>
      <c r="B42" s="5"/>
    </row>
    <row r="43" spans="1:2" x14ac:dyDescent="0.25">
      <c r="A43" s="4">
        <v>172992</v>
      </c>
      <c r="B43" s="5">
        <v>46125.959027777775</v>
      </c>
    </row>
    <row r="44" spans="1:2" x14ac:dyDescent="0.25">
      <c r="A44" s="4">
        <v>172770</v>
      </c>
      <c r="B44" s="5">
        <v>46126.228472222225</v>
      </c>
    </row>
    <row r="45" spans="1:2" x14ac:dyDescent="0.25">
      <c r="A45" s="4">
        <v>172769</v>
      </c>
      <c r="B45" s="5">
        <v>46126.392361111109</v>
      </c>
    </row>
    <row r="46" spans="1:2" x14ac:dyDescent="0.25">
      <c r="A46" s="4">
        <v>172768</v>
      </c>
      <c r="B46" s="5">
        <v>46126.571527777778</v>
      </c>
    </row>
    <row r="47" spans="1:2" x14ac:dyDescent="0.25">
      <c r="A47" s="3">
        <v>185758</v>
      </c>
      <c r="B47" s="5"/>
    </row>
    <row r="48" spans="1:2" x14ac:dyDescent="0.25">
      <c r="A48" s="4">
        <v>173048</v>
      </c>
      <c r="B48" s="5">
        <v>46125.689583333333</v>
      </c>
    </row>
    <row r="49" spans="1:2" x14ac:dyDescent="0.25">
      <c r="A49" s="4">
        <v>173060</v>
      </c>
      <c r="B49" s="5">
        <v>46125.689583333333</v>
      </c>
    </row>
    <row r="50" spans="1:2" x14ac:dyDescent="0.25">
      <c r="A50" s="2" t="s">
        <v>13</v>
      </c>
      <c r="B50" s="5"/>
    </row>
    <row r="51" spans="1:2" x14ac:dyDescent="0.25">
      <c r="A51" s="3">
        <v>0</v>
      </c>
      <c r="B51" s="5"/>
    </row>
    <row r="52" spans="1:2" x14ac:dyDescent="0.25">
      <c r="A52" s="4">
        <v>173011</v>
      </c>
      <c r="B52" s="5">
        <v>46125.479861111111</v>
      </c>
    </row>
    <row r="53" spans="1:2" x14ac:dyDescent="0.25">
      <c r="A53" s="4">
        <v>173072</v>
      </c>
      <c r="B53" s="5">
        <v>46125.618055555555</v>
      </c>
    </row>
    <row r="54" spans="1:2" x14ac:dyDescent="0.25">
      <c r="A54" s="4">
        <v>172977</v>
      </c>
      <c r="B54" s="5">
        <v>46125.743750000001</v>
      </c>
    </row>
    <row r="55" spans="1:2" x14ac:dyDescent="0.25">
      <c r="A55" s="4">
        <v>173698</v>
      </c>
      <c r="B55" s="5">
        <v>46125.869444444441</v>
      </c>
    </row>
    <row r="56" spans="1:2" x14ac:dyDescent="0.25">
      <c r="A56" s="4">
        <v>173073</v>
      </c>
      <c r="B56" s="5">
        <v>46125.959722222222</v>
      </c>
    </row>
    <row r="57" spans="1:2" x14ac:dyDescent="0.25">
      <c r="A57" s="4">
        <v>172984</v>
      </c>
      <c r="B57" s="5">
        <v>46126.085416666669</v>
      </c>
    </row>
    <row r="58" spans="1:2" x14ac:dyDescent="0.25">
      <c r="A58" s="4">
        <v>172976</v>
      </c>
      <c r="B58" s="5">
        <v>46126.211805555555</v>
      </c>
    </row>
    <row r="59" spans="1:2" x14ac:dyDescent="0.25">
      <c r="A59" s="4">
        <v>173480</v>
      </c>
      <c r="B59" s="5">
        <v>46126.338194444441</v>
      </c>
    </row>
    <row r="60" spans="1:2" x14ac:dyDescent="0.25">
      <c r="A60" s="4">
        <v>173478</v>
      </c>
      <c r="B60" s="5">
        <v>46126.460416666669</v>
      </c>
    </row>
    <row r="61" spans="1:2" x14ac:dyDescent="0.25">
      <c r="A61" s="4">
        <v>173033</v>
      </c>
      <c r="B61" s="5">
        <v>46126.582638888889</v>
      </c>
    </row>
    <row r="62" spans="1:2" x14ac:dyDescent="0.25">
      <c r="A62" s="2" t="s">
        <v>15</v>
      </c>
      <c r="B62" s="5"/>
    </row>
    <row r="63" spans="1:2" x14ac:dyDescent="0.25">
      <c r="A63" s="3">
        <v>0</v>
      </c>
      <c r="B63" s="5"/>
    </row>
    <row r="64" spans="1:2" x14ac:dyDescent="0.25">
      <c r="A64" s="4">
        <v>173075</v>
      </c>
      <c r="B64" s="5">
        <v>46125.400694444441</v>
      </c>
    </row>
    <row r="65" spans="1:2" x14ac:dyDescent="0.25">
      <c r="A65" s="4">
        <v>173082</v>
      </c>
      <c r="B65" s="5">
        <v>46125.527083333334</v>
      </c>
    </row>
    <row r="66" spans="1:2" x14ac:dyDescent="0.25">
      <c r="A66" s="4">
        <v>173096</v>
      </c>
      <c r="B66" s="5">
        <v>46125.691666666666</v>
      </c>
    </row>
    <row r="67" spans="1:2" x14ac:dyDescent="0.25">
      <c r="A67" s="4">
        <v>173077</v>
      </c>
      <c r="B67" s="5">
        <v>46126.127083333333</v>
      </c>
    </row>
    <row r="68" spans="1:2" x14ac:dyDescent="0.25">
      <c r="A68" s="4">
        <v>173076</v>
      </c>
      <c r="B68" s="5">
        <v>46126.249305555553</v>
      </c>
    </row>
    <row r="69" spans="1:2" x14ac:dyDescent="0.25">
      <c r="A69" s="4">
        <v>173031</v>
      </c>
      <c r="B69" s="5">
        <v>46126.413888888892</v>
      </c>
    </row>
    <row r="70" spans="1:2" x14ac:dyDescent="0.25">
      <c r="A70" s="4">
        <v>172981</v>
      </c>
      <c r="B70" s="5">
        <v>46126.638194444444</v>
      </c>
    </row>
    <row r="71" spans="1:2" x14ac:dyDescent="0.25">
      <c r="A71" s="4">
        <v>172978</v>
      </c>
      <c r="B71" s="5">
        <v>46126.802777777775</v>
      </c>
    </row>
    <row r="72" spans="1:2" x14ac:dyDescent="0.25">
      <c r="A72" s="2" t="s">
        <v>8</v>
      </c>
      <c r="B72" s="5"/>
    </row>
    <row r="73" spans="1:2" x14ac:dyDescent="0.25">
      <c r="A73" s="3">
        <v>185892</v>
      </c>
      <c r="B73" s="5"/>
    </row>
    <row r="74" spans="1:2" x14ac:dyDescent="0.25">
      <c r="A74" s="4">
        <v>172794</v>
      </c>
      <c r="B74" s="5">
        <v>46125.62777777778</v>
      </c>
    </row>
    <row r="75" spans="1:2" x14ac:dyDescent="0.25">
      <c r="A75" s="4">
        <v>172793</v>
      </c>
      <c r="B75" s="5">
        <v>46125.62777777778</v>
      </c>
    </row>
    <row r="76" spans="1:2" x14ac:dyDescent="0.25">
      <c r="A76" s="3">
        <v>185879</v>
      </c>
      <c r="B76" s="5"/>
    </row>
    <row r="77" spans="1:2" x14ac:dyDescent="0.25">
      <c r="A77" s="4">
        <v>173036</v>
      </c>
      <c r="B77" s="5">
        <v>46125.820138888892</v>
      </c>
    </row>
    <row r="78" spans="1:2" x14ac:dyDescent="0.25">
      <c r="A78" s="4">
        <v>173037</v>
      </c>
      <c r="B78" s="5">
        <v>46125.820138888892</v>
      </c>
    </row>
    <row r="79" spans="1:2" x14ac:dyDescent="0.25">
      <c r="A79" s="3">
        <v>185839</v>
      </c>
      <c r="B79" s="5"/>
    </row>
    <row r="80" spans="1:2" x14ac:dyDescent="0.25">
      <c r="A80" s="4">
        <v>172720</v>
      </c>
      <c r="B80" s="5">
        <v>46126.047222222223</v>
      </c>
    </row>
    <row r="81" spans="1:2" x14ac:dyDescent="0.25">
      <c r="A81" s="4">
        <v>172721</v>
      </c>
      <c r="B81" s="5">
        <v>46126.047222222223</v>
      </c>
    </row>
    <row r="82" spans="1:2" x14ac:dyDescent="0.25">
      <c r="A82" s="3">
        <v>185875</v>
      </c>
      <c r="B82" s="5"/>
    </row>
    <row r="83" spans="1:2" x14ac:dyDescent="0.25">
      <c r="A83" s="4">
        <v>172711</v>
      </c>
      <c r="B83" s="5">
        <v>46126.378472222219</v>
      </c>
    </row>
    <row r="84" spans="1:2" x14ac:dyDescent="0.25">
      <c r="A84" s="4">
        <v>172710</v>
      </c>
      <c r="B84" s="5">
        <v>46126.378472222219</v>
      </c>
    </row>
    <row r="85" spans="1:2" x14ac:dyDescent="0.25">
      <c r="A85" s="2" t="s">
        <v>9</v>
      </c>
      <c r="B85" s="5"/>
    </row>
    <row r="86" spans="1:2" x14ac:dyDescent="0.25">
      <c r="A86" s="3">
        <v>0</v>
      </c>
      <c r="B86" s="5"/>
    </row>
    <row r="87" spans="1:2" x14ac:dyDescent="0.25">
      <c r="A87" s="4">
        <v>172703</v>
      </c>
      <c r="B87" s="5">
        <v>46125.566666666666</v>
      </c>
    </row>
    <row r="88" spans="1:2" x14ac:dyDescent="0.25">
      <c r="A88" s="4">
        <v>173071</v>
      </c>
      <c r="B88" s="5">
        <v>46125.835416666669</v>
      </c>
    </row>
    <row r="89" spans="1:2" x14ac:dyDescent="0.25">
      <c r="A89" s="4">
        <v>173093</v>
      </c>
      <c r="B89" s="5">
        <v>46125.935416666667</v>
      </c>
    </row>
    <row r="90" spans="1:2" x14ac:dyDescent="0.25">
      <c r="A90" s="3">
        <v>185766</v>
      </c>
      <c r="B90" s="5"/>
    </row>
    <row r="91" spans="1:2" x14ac:dyDescent="0.25">
      <c r="A91" s="4">
        <v>173101</v>
      </c>
      <c r="B91" s="5">
        <v>46126.005555555559</v>
      </c>
    </row>
    <row r="92" spans="1:2" x14ac:dyDescent="0.25">
      <c r="A92" s="4">
        <v>173098</v>
      </c>
      <c r="B92" s="5">
        <v>46126.005555555559</v>
      </c>
    </row>
    <row r="93" spans="1:2" x14ac:dyDescent="0.25">
      <c r="A93" s="3">
        <v>185752</v>
      </c>
      <c r="B93" s="5"/>
    </row>
    <row r="94" spans="1:2" x14ac:dyDescent="0.25">
      <c r="A94" s="4">
        <v>173014</v>
      </c>
      <c r="B94" s="5">
        <v>46126.154861111114</v>
      </c>
    </row>
    <row r="95" spans="1:2" x14ac:dyDescent="0.25">
      <c r="A95" s="4">
        <v>173000</v>
      </c>
      <c r="B95" s="5">
        <v>46126.154861111114</v>
      </c>
    </row>
    <row r="96" spans="1:2" x14ac:dyDescent="0.25">
      <c r="A96" s="2" t="s">
        <v>14</v>
      </c>
      <c r="B96" s="5"/>
    </row>
    <row r="97" spans="1:2" x14ac:dyDescent="0.25">
      <c r="A97" s="3">
        <v>185830</v>
      </c>
      <c r="B97" s="5"/>
    </row>
    <row r="98" spans="1:2" x14ac:dyDescent="0.25">
      <c r="A98" s="4">
        <v>173085</v>
      </c>
      <c r="B98" s="5">
        <v>46125.717361111114</v>
      </c>
    </row>
    <row r="99" spans="1:2" x14ac:dyDescent="0.25">
      <c r="A99" s="4">
        <v>173086</v>
      </c>
      <c r="B99" s="5">
        <v>46125.717361111114</v>
      </c>
    </row>
    <row r="100" spans="1:2" x14ac:dyDescent="0.25">
      <c r="A100" s="3">
        <v>185748</v>
      </c>
      <c r="B100" s="5"/>
    </row>
    <row r="101" spans="1:2" x14ac:dyDescent="0.25">
      <c r="A101" s="4">
        <v>173056</v>
      </c>
      <c r="B101" s="5">
        <v>46126.000694444447</v>
      </c>
    </row>
    <row r="102" spans="1:2" x14ac:dyDescent="0.25">
      <c r="A102" s="4">
        <v>173005</v>
      </c>
      <c r="B102" s="5">
        <v>46126.000694444447</v>
      </c>
    </row>
    <row r="103" spans="1:2" x14ac:dyDescent="0.25">
      <c r="A103" s="4">
        <v>173019</v>
      </c>
      <c r="B103" s="5">
        <v>46126.000694444447</v>
      </c>
    </row>
    <row r="104" spans="1:2" x14ac:dyDescent="0.25">
      <c r="A104" s="4">
        <v>173044</v>
      </c>
      <c r="B104" s="5">
        <v>46126.000694444447</v>
      </c>
    </row>
    <row r="105" spans="1:2" x14ac:dyDescent="0.25">
      <c r="A105" s="3">
        <v>185881</v>
      </c>
      <c r="B105" s="5"/>
    </row>
    <row r="106" spans="1:2" x14ac:dyDescent="0.25">
      <c r="A106" s="4">
        <v>172730</v>
      </c>
      <c r="B106" s="5">
        <v>46126.304861111108</v>
      </c>
    </row>
    <row r="107" spans="1:2" x14ac:dyDescent="0.25">
      <c r="A107" s="4">
        <v>172729</v>
      </c>
      <c r="B107" s="5">
        <v>46126.304861111108</v>
      </c>
    </row>
    <row r="108" spans="1:2" x14ac:dyDescent="0.25">
      <c r="A108" s="3">
        <v>185882</v>
      </c>
      <c r="B108" s="5"/>
    </row>
    <row r="109" spans="1:2" x14ac:dyDescent="0.25">
      <c r="A109" s="4">
        <v>172650</v>
      </c>
      <c r="B109" s="5">
        <v>46126.636111111111</v>
      </c>
    </row>
    <row r="110" spans="1:2" x14ac:dyDescent="0.25">
      <c r="A110" s="4">
        <v>172651</v>
      </c>
      <c r="B110" s="5">
        <v>46126.636111111111</v>
      </c>
    </row>
    <row r="111" spans="1:2" x14ac:dyDescent="0.25">
      <c r="A111" s="2" t="s">
        <v>1</v>
      </c>
      <c r="B111" s="5">
        <v>46125.400694444441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2026-04-13T23:03:28Z</dcterms:modified>
</cp:coreProperties>
</file>