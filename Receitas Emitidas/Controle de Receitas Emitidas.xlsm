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71F93882-C2A8-44FD-B924-124557EDDE67}" xr6:coauthVersionLast="47" xr6:coauthVersionMax="47" xr10:uidLastSave="{00000000-0000-0000-0000-000000000000}"/>
  <bookViews>
    <workbookView xWindow="1560" yWindow="1560" windowWidth="28800" windowHeight="11385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<sst xmlns="http://schemas.openxmlformats.org/spreadsheetml/2006/main" count="19" uniqueCount="19">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</sst>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29.698019675925" missingItemsLimit="0" createdVersion="7" refreshedVersion="7" minRefreshableVersion="3" recordCount="11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935" count="25">
        <n v="0"/>
        <n v="185908"/>
        <n v="185904"/>
        <n v="185891"/>
        <n v="185860"/>
        <n v="185903"/>
        <n v="185911"/>
        <n v="185895"/>
        <n v="185900"/>
        <n v="185865"/>
        <n v="185902"/>
        <n v="185806"/>
        <n v="185910"/>
        <n v="185717"/>
        <n v="185872"/>
        <n v="185871"/>
        <n v="185866"/>
        <n v="185868"/>
        <n v="185870"/>
        <n v="185935"/>
        <n v="185867"/>
        <n v="185869"/>
        <n v="185850"/>
        <n v="185897"/>
        <n v="185858"/>
      </sharedItems>
    </cacheField>
    <cacheField name="NUMERO_OB" numFmtId="0">
      <sharedItems containsSemiMixedTypes="0" containsString="0" containsNumber="1" containsInteger="1" minValue="172559" maxValue="174354" count="114">
        <n v="173325"/>
        <n v="173568"/>
        <n v="173567"/>
        <n v="173552"/>
        <n v="173551"/>
        <n v="173938"/>
        <n v="172646"/>
        <n v="173640"/>
        <n v="173703"/>
        <n v="173730"/>
        <n v="173596"/>
        <n v="173593"/>
        <n v="172670"/>
        <n v="173629"/>
        <n v="173612"/>
        <n v="173729"/>
        <n v="173326"/>
        <n v="172700"/>
        <n v="173553"/>
        <n v="173554"/>
        <n v="173939"/>
        <n v="173561"/>
        <n v="173562"/>
        <n v="173601"/>
        <n v="172671"/>
        <n v="173973"/>
        <n v="173614"/>
        <n v="173812"/>
        <n v="173811"/>
        <n v="172701"/>
        <n v="173254"/>
        <n v="173974"/>
        <n v="173638"/>
        <n v="173639"/>
        <n v="173609"/>
        <n v="173570"/>
        <n v="173622"/>
        <n v="173555"/>
        <n v="173556"/>
        <n v="172696"/>
        <n v="173327"/>
        <n v="173337"/>
        <n v="173335"/>
        <n v="173616"/>
        <n v="173563"/>
        <n v="173564"/>
        <n v="173580"/>
        <n v="172559"/>
        <n v="172937"/>
        <n v="172938"/>
        <n v="173603"/>
        <n v="173644"/>
        <n v="173651"/>
        <n v="173610"/>
        <n v="173637"/>
        <n v="172750"/>
        <n v="173655"/>
        <n v="173649"/>
        <n v="173642"/>
        <n v="173643"/>
        <n v="173654"/>
        <n v="173648"/>
        <n v="173645"/>
        <n v="173652"/>
        <n v="173641"/>
        <n v="172787"/>
        <n v="173573"/>
        <n v="173611"/>
        <n v="173625"/>
        <n v="172734"/>
        <n v="172733"/>
        <n v="172832"/>
        <n v="173630"/>
        <n v="173656"/>
        <n v="173653"/>
        <n v="173650"/>
        <n v="173409"/>
        <n v="173646"/>
        <n v="173647"/>
        <n v="173571"/>
        <n v="173491"/>
        <n v="172786"/>
        <n v="174354"/>
        <n v="173410"/>
        <n v="173624"/>
        <n v="173582"/>
        <n v="173526"/>
        <n v="173514"/>
        <n v="173627"/>
        <n v="174349"/>
        <n v="174343"/>
        <n v="174063"/>
        <n v="174348"/>
        <n v="173983"/>
        <n v="174061"/>
        <n v="173789"/>
        <n v="174346"/>
        <n v="173689"/>
        <n v="174347"/>
        <n v="174023"/>
        <n v="173800"/>
        <n v="173687"/>
        <n v="173584"/>
        <n v="173411"/>
        <n v="173535"/>
        <n v="173540"/>
        <n v="173581"/>
        <n v="173412"/>
        <n v="173908"/>
        <n v="172717"/>
        <n v="172704"/>
        <n v="172784"/>
        <n v="172716"/>
        <n v="172637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6"/>
        <s v="MQ11"/>
        <s v="MQ09"/>
        <s v="MQ05"/>
        <s v="MQ02"/>
        <s v="MQ07"/>
        <s v="MQ04"/>
        <s v="MQ03"/>
        <s v="MQ10"/>
        <s v="MQ08"/>
        <s v="MQ01"/>
      </sharedItems>
    </cacheField>
    <cacheField name="INICIO_TING" numFmtId="0">
      <sharedItems containsSemiMixedTypes="0" containsNonDate="0" containsDate="1" containsString="0" minDate="2026-04-17T11:09:00" maxDate="2026-04-22T00:59:00"/>
    </cacheField>
    <cacheField name="FINAL_TING" numFmtId="0">
      <sharedItems containsSemiMixedTypes="0" containsNonDate="0" containsDate="1" containsString="0" minDate="2026-04-17T16:55:00" maxDate="2026-04-22T08:06:00"/>
    </cacheField>
    <cacheField name="ARTIGO" numFmtId="0">
      <sharedItems count="19">
        <s v="00056     "/>
        <s v="00189     "/>
        <s v="00146     "/>
        <s v="00024     "/>
        <s v="00030     "/>
        <s v="00010     "/>
        <s v="00032     "/>
        <s v="00142     "/>
        <s v="00022     "/>
        <s v="00184     "/>
        <s v="00016     "/>
        <s v="00018     "/>
        <s v="00456     "/>
        <s v="00031     "/>
        <s v="00149     "/>
        <s v="00042     "/>
        <s v="00191     "/>
        <s v="00015     "/>
        <s v="00044     "/>
      </sharedItems>
    </cacheField>
    <cacheField name="REDUZIDO" numFmtId="0">
      <sharedItems containsSemiMixedTypes="0" containsString="0" containsNumber="1" containsInteger="1" minValue="193" maxValue="22676"/>
    </cacheField>
    <cacheField name="DESCRICAO" numFmtId="0">
      <sharedItems/>
    </cacheField>
    <cacheField name="FASE_ATUAL" numFmtId="0">
      <sharedItems count="3">
        <s v="TIN-TINGIMENTO"/>
        <s v="RMC-REVISÃO MALHA CRUA"/>
        <s v="IVF-INVERSÃO P/FELPAGEM"/>
      </sharedItems>
    </cacheField>
    <cacheField name="STATUS_FASE" numFmtId="0">
      <sharedItems count="4">
        <s v="EM EXECUÇÃO"/>
        <s v="EMITIDA"/>
        <s v="PESADA"/>
        <s v="PROGRAMADA"/>
      </sharedItems>
    </cacheField>
    <cacheField name="USUARIO" numFmtId="0">
      <sharedItems containsBlank="1" count="3">
        <s v="LUIZ ANDREI DE LIMA"/>
        <m/>
        <s v="SINVAL SILVA SOUZA"/>
      </sharedItems>
    </cacheField>
    <cacheField name="HORARIO_PESADO" numFmtId="0">
      <sharedItems containsNonDate="0" containsDate="1" containsString="0" containsBlank="1" minDate="2026-04-17T06:35:24" maxDate="2026-04-17T16:44:20" count="24">
        <d v="2026-04-17T06:35:24"/>
        <d v="2026-04-17T08:08:14"/>
        <d v="2026-04-17T12:01:59"/>
        <d v="2026-04-17T07:51:22"/>
        <d v="2026-04-17T07:12:29"/>
        <d v="2026-04-17T08:25:33"/>
        <d v="2026-04-17T12:14:39"/>
        <d v="2026-04-17T08:47:13"/>
        <d v="2026-04-17T12:27:42"/>
        <d v="2026-04-17T12:22:08"/>
        <m/>
        <d v="2026-04-17T16:29:41"/>
        <d v="2026-04-17T09:26:09"/>
        <d v="2026-04-17T15:40:26"/>
        <d v="2026-04-17T16:03:47"/>
        <d v="2026-04-17T16:12:00"/>
        <d v="2026-04-17T15:09:29"/>
        <d v="2026-04-17T16:07:29"/>
        <d v="2026-04-17T14:37:59"/>
        <d v="2026-04-17T15:58:40"/>
        <d v="2026-04-17T14:21:07"/>
        <d v="2026-04-17T16:44:20"/>
        <d v="2026-04-17T15:23:59"/>
        <d v="2026-04-17T14:03:36"/>
      </sharedItems>
    </cacheField>
    <cacheField name="DIAS_PESADO" numFmtId="0">
      <sharedItems containsString="0" containsBlank="1" containsNumber="1" minValue="0" maxValue="0.42" count="21">
        <n v="0.42"/>
        <n v="0.36"/>
        <n v="0.2"/>
        <n v="0.37"/>
        <n v="0.4"/>
        <n v="0.35"/>
        <n v="0.19"/>
        <n v="0.33"/>
        <n v="0.18"/>
        <m/>
        <n v="0.01"/>
        <n v="0.3"/>
        <n v="0.04"/>
        <n v="0.03"/>
        <n v="0.02"/>
        <n v="7.0000000000000007E-2"/>
        <n v="0.09"/>
        <n v="0.1"/>
        <n v="0"/>
        <n v="0.06"/>
        <n v="0.11"/>
      </sharedItems>
    </cacheField>
    <cacheField name="QUANT_PESADA" numFmtId="0">
      <sharedItems containsSemiMixedTypes="0" containsString="0" containsNumber="1" minValue="0" maxValue="152.10900000000001" count="24">
        <n v="48.460999999999999"/>
        <n v="38.328000000000003"/>
        <n v="152.10900000000001"/>
        <n v="9.3970000000000002"/>
        <n v="2.8293900000000001"/>
        <n v="18.172999999999998"/>
        <n v="9.6709999999999994"/>
        <n v="26.64"/>
        <n v="7.9790000000000001"/>
        <n v="1.508"/>
        <n v="0"/>
        <n v="52.475999999999999"/>
        <n v="0.83575999999999995"/>
        <n v="33.637"/>
        <n v="8.0960000000000001"/>
        <n v="2.0979999999999999"/>
        <n v="22.688030000000001"/>
        <n v="1.9259999999999999"/>
        <n v="28.442"/>
        <n v="4.4119999999999999"/>
        <n v="20.015999999999998"/>
        <n v="52.639000000000003"/>
        <n v="33.853999999999999"/>
        <n v="40.5510000000000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x v="0"/>
    <x v="0"/>
    <x v="0"/>
    <d v="2026-04-17T11:09:00"/>
    <d v="2026-04-17T17:11:00"/>
    <x v="0"/>
    <n v="16658"/>
    <s v="MOLETOM PA TUBULAR PRETO"/>
    <x v="0"/>
    <x v="0"/>
    <x v="0"/>
    <x v="0"/>
    <x v="0"/>
    <x v="0"/>
  </r>
  <r>
    <x v="1"/>
    <x v="1"/>
    <x v="0"/>
    <x v="1"/>
    <d v="2026-04-17T12:27:00"/>
    <d v="2026-04-17T18:13:00"/>
    <x v="1"/>
    <n v="17151"/>
    <s v="VISCOLYCRA VORTEX MARROM"/>
    <x v="0"/>
    <x v="0"/>
    <x v="0"/>
    <x v="1"/>
    <x v="1"/>
    <x v="1"/>
  </r>
  <r>
    <x v="1"/>
    <x v="2"/>
    <x v="0"/>
    <x v="1"/>
    <d v="2026-04-17T12:27:00"/>
    <d v="2026-04-17T18:13:00"/>
    <x v="1"/>
    <n v="17151"/>
    <s v="VISCOLYCRA VORTEX MARROM"/>
    <x v="0"/>
    <x v="0"/>
    <x v="0"/>
    <x v="1"/>
    <x v="1"/>
    <x v="1"/>
  </r>
  <r>
    <x v="2"/>
    <x v="3"/>
    <x v="0"/>
    <x v="2"/>
    <d v="2026-04-17T12:34:00"/>
    <d v="2026-04-17T17:39:00"/>
    <x v="1"/>
    <n v="11944"/>
    <s v="VISCOLYCRA VORTEX PRETO"/>
    <x v="0"/>
    <x v="0"/>
    <x v="0"/>
    <x v="2"/>
    <x v="2"/>
    <x v="2"/>
  </r>
  <r>
    <x v="2"/>
    <x v="4"/>
    <x v="0"/>
    <x v="2"/>
    <d v="2026-04-17T12:34:00"/>
    <d v="2026-04-17T17:39:00"/>
    <x v="1"/>
    <n v="11944"/>
    <s v="VISCOLYCRA VORTEX PRETO"/>
    <x v="0"/>
    <x v="0"/>
    <x v="0"/>
    <x v="2"/>
    <x v="2"/>
    <x v="2"/>
  </r>
  <r>
    <x v="0"/>
    <x v="5"/>
    <x v="0"/>
    <x v="3"/>
    <d v="2026-04-17T13:00:00"/>
    <d v="2026-04-17T17:40:00"/>
    <x v="2"/>
    <n v="1785"/>
    <s v="HELANCA 100%PES ROYAL"/>
    <x v="0"/>
    <x v="0"/>
    <x v="0"/>
    <x v="3"/>
    <x v="3"/>
    <x v="3"/>
  </r>
  <r>
    <x v="0"/>
    <x v="6"/>
    <x v="0"/>
    <x v="4"/>
    <d v="2026-04-17T13:14:00"/>
    <d v="2026-04-17T17:20:00"/>
    <x v="3"/>
    <n v="22676"/>
    <s v="M/M 24/1 18 TRAMAS PISTACHE"/>
    <x v="0"/>
    <x v="0"/>
    <x v="0"/>
    <x v="4"/>
    <x v="4"/>
    <x v="4"/>
  </r>
  <r>
    <x v="0"/>
    <x v="7"/>
    <x v="0"/>
    <x v="5"/>
    <d v="2026-04-17T13:38:00"/>
    <d v="2026-04-17T19:49:00"/>
    <x v="4"/>
    <n v="3303"/>
    <s v="M/M 30/1 CARDADA OE MARROM"/>
    <x v="0"/>
    <x v="0"/>
    <x v="0"/>
    <x v="5"/>
    <x v="5"/>
    <x v="5"/>
  </r>
  <r>
    <x v="3"/>
    <x v="8"/>
    <x v="0"/>
    <x v="6"/>
    <d v="2026-04-17T14:36:00"/>
    <d v="2026-04-17T16:55:00"/>
    <x v="5"/>
    <n v="10915"/>
    <s v="RIBANA 30/1 OE MARFIM"/>
    <x v="0"/>
    <x v="0"/>
    <x v="0"/>
    <x v="6"/>
    <x v="6"/>
    <x v="6"/>
  </r>
  <r>
    <x v="3"/>
    <x v="9"/>
    <x v="0"/>
    <x v="6"/>
    <d v="2026-04-17T14:36:00"/>
    <d v="2026-04-17T16:55:00"/>
    <x v="6"/>
    <n v="258"/>
    <s v="M/M 30/1 PENTEADO MARFIM"/>
    <x v="0"/>
    <x v="0"/>
    <x v="0"/>
    <x v="6"/>
    <x v="6"/>
    <x v="6"/>
  </r>
  <r>
    <x v="4"/>
    <x v="10"/>
    <x v="0"/>
    <x v="7"/>
    <d v="2026-04-17T14:43:00"/>
    <d v="2026-04-17T20:54:00"/>
    <x v="5"/>
    <n v="14569"/>
    <s v="RIBANA 30/1 OE MARROM"/>
    <x v="0"/>
    <x v="0"/>
    <x v="0"/>
    <x v="7"/>
    <x v="7"/>
    <x v="7"/>
  </r>
  <r>
    <x v="4"/>
    <x v="11"/>
    <x v="0"/>
    <x v="7"/>
    <d v="2026-04-17T14:43:00"/>
    <d v="2026-04-17T20:54:00"/>
    <x v="6"/>
    <n v="1492"/>
    <s v="M/M 30/1 PENTEADO MARROM"/>
    <x v="0"/>
    <x v="0"/>
    <x v="0"/>
    <x v="7"/>
    <x v="7"/>
    <x v="7"/>
  </r>
  <r>
    <x v="0"/>
    <x v="12"/>
    <x v="0"/>
    <x v="8"/>
    <d v="2026-04-17T14:57:00"/>
    <d v="2026-04-17T18:51:00"/>
    <x v="6"/>
    <n v="208"/>
    <s v="M/M 30/1 PENTEADO BRANCO"/>
    <x v="0"/>
    <x v="0"/>
    <x v="0"/>
    <x v="8"/>
    <x v="8"/>
    <x v="8"/>
  </r>
  <r>
    <x v="0"/>
    <x v="13"/>
    <x v="0"/>
    <x v="9"/>
    <d v="2026-04-17T16:25:00"/>
    <d v="2026-04-17T18:39:00"/>
    <x v="7"/>
    <n v="1654"/>
    <s v="HELANQUINHA DRY FIT BRANCO"/>
    <x v="0"/>
    <x v="0"/>
    <x v="0"/>
    <x v="9"/>
    <x v="8"/>
    <x v="9"/>
  </r>
  <r>
    <x v="0"/>
    <x v="14"/>
    <x v="1"/>
    <x v="10"/>
    <d v="2026-04-17T16:43:00"/>
    <d v="2026-04-17T19:38:00"/>
    <x v="3"/>
    <n v="459"/>
    <s v="M/M 24/1 18 TRAMAS AZUL BEBÊ"/>
    <x v="0"/>
    <x v="1"/>
    <x v="1"/>
    <x v="10"/>
    <x v="9"/>
    <x v="10"/>
  </r>
  <r>
    <x v="0"/>
    <x v="15"/>
    <x v="1"/>
    <x v="6"/>
    <d v="2026-04-17T16:56:00"/>
    <d v="2026-04-17T19:05:00"/>
    <x v="6"/>
    <n v="258"/>
    <s v="M/M 30/1 PENTEADO MARFIM"/>
    <x v="0"/>
    <x v="1"/>
    <x v="1"/>
    <x v="10"/>
    <x v="9"/>
    <x v="10"/>
  </r>
  <r>
    <x v="0"/>
    <x v="16"/>
    <x v="0"/>
    <x v="0"/>
    <d v="2026-04-17T17:12:00"/>
    <d v="2026-04-17T23:04:00"/>
    <x v="0"/>
    <n v="16658"/>
    <s v="MOLETOM PA TUBULAR PRETO"/>
    <x v="0"/>
    <x v="2"/>
    <x v="2"/>
    <x v="11"/>
    <x v="10"/>
    <x v="11"/>
  </r>
  <r>
    <x v="0"/>
    <x v="17"/>
    <x v="0"/>
    <x v="4"/>
    <d v="2026-04-17T17:21:00"/>
    <d v="2026-04-17T20:22:00"/>
    <x v="6"/>
    <n v="1254"/>
    <s v="M/M 30/1 PENTEADO CINZA CLARO"/>
    <x v="0"/>
    <x v="2"/>
    <x v="0"/>
    <x v="12"/>
    <x v="11"/>
    <x v="12"/>
  </r>
  <r>
    <x v="5"/>
    <x v="18"/>
    <x v="1"/>
    <x v="2"/>
    <d v="2026-04-17T17:40:00"/>
    <d v="2026-04-17T22:25:00"/>
    <x v="1"/>
    <n v="11944"/>
    <s v="VISCOLYCRA VORTEX PRETO"/>
    <x v="0"/>
    <x v="1"/>
    <x v="1"/>
    <x v="10"/>
    <x v="9"/>
    <x v="10"/>
  </r>
  <r>
    <x v="5"/>
    <x v="19"/>
    <x v="1"/>
    <x v="2"/>
    <d v="2026-04-17T17:40:00"/>
    <d v="2026-04-17T22:25:00"/>
    <x v="1"/>
    <n v="11944"/>
    <s v="VISCOLYCRA VORTEX PRETO"/>
    <x v="0"/>
    <x v="1"/>
    <x v="1"/>
    <x v="10"/>
    <x v="9"/>
    <x v="10"/>
  </r>
  <r>
    <x v="0"/>
    <x v="20"/>
    <x v="1"/>
    <x v="3"/>
    <d v="2026-04-17T17:41:00"/>
    <d v="2026-04-17T22:11:00"/>
    <x v="2"/>
    <n v="1785"/>
    <s v="HELANCA 100%PES ROYAL"/>
    <x v="0"/>
    <x v="1"/>
    <x v="1"/>
    <x v="10"/>
    <x v="9"/>
    <x v="10"/>
  </r>
  <r>
    <x v="6"/>
    <x v="21"/>
    <x v="0"/>
    <x v="1"/>
    <d v="2026-04-17T18:14:00"/>
    <d v="2026-04-17T23:40:00"/>
    <x v="1"/>
    <n v="12250"/>
    <s v="VISCOLYCRA VORTEX VINHO"/>
    <x v="0"/>
    <x v="2"/>
    <x v="2"/>
    <x v="13"/>
    <x v="12"/>
    <x v="13"/>
  </r>
  <r>
    <x v="6"/>
    <x v="22"/>
    <x v="0"/>
    <x v="1"/>
    <d v="2026-04-17T18:14:00"/>
    <d v="2026-04-17T23:40:00"/>
    <x v="1"/>
    <n v="12250"/>
    <s v="VISCOLYCRA VORTEX VINHO"/>
    <x v="0"/>
    <x v="2"/>
    <x v="2"/>
    <x v="13"/>
    <x v="12"/>
    <x v="13"/>
  </r>
  <r>
    <x v="0"/>
    <x v="23"/>
    <x v="1"/>
    <x v="9"/>
    <d v="2026-04-17T18:40:00"/>
    <d v="2026-04-17T21:40:00"/>
    <x v="8"/>
    <n v="193"/>
    <s v="M/M 24/1 14 TRAMAS AMARELO BEBÊ"/>
    <x v="0"/>
    <x v="1"/>
    <x v="1"/>
    <x v="10"/>
    <x v="9"/>
    <x v="10"/>
  </r>
  <r>
    <x v="0"/>
    <x v="24"/>
    <x v="0"/>
    <x v="8"/>
    <d v="2026-04-17T18:52:00"/>
    <d v="2026-04-17T22:26:00"/>
    <x v="6"/>
    <n v="208"/>
    <s v="M/M 30/1 PENTEADO BRANCO"/>
    <x v="0"/>
    <x v="2"/>
    <x v="2"/>
    <x v="14"/>
    <x v="13"/>
    <x v="14"/>
  </r>
  <r>
    <x v="0"/>
    <x v="25"/>
    <x v="0"/>
    <x v="6"/>
    <d v="2026-04-17T19:06:00"/>
    <d v="2026-04-17T20:32:00"/>
    <x v="9"/>
    <n v="1825"/>
    <s v="POLIÉSTER FIADO BRANCO"/>
    <x v="0"/>
    <x v="2"/>
    <x v="2"/>
    <x v="15"/>
    <x v="14"/>
    <x v="15"/>
  </r>
  <r>
    <x v="0"/>
    <x v="26"/>
    <x v="1"/>
    <x v="10"/>
    <d v="2026-04-17T19:39:00"/>
    <d v="2026-04-17T23:35:00"/>
    <x v="3"/>
    <n v="1261"/>
    <s v="M/M 24/1 18 TRAMAS VERDE BEBÊ"/>
    <x v="0"/>
    <x v="1"/>
    <x v="1"/>
    <x v="10"/>
    <x v="9"/>
    <x v="10"/>
  </r>
  <r>
    <x v="7"/>
    <x v="27"/>
    <x v="0"/>
    <x v="5"/>
    <d v="2026-04-17T19:50:00"/>
    <d v="2026-04-18T03:51:00"/>
    <x v="10"/>
    <n v="707"/>
    <s v="GOLA PA VERMELHO"/>
    <x v="0"/>
    <x v="2"/>
    <x v="2"/>
    <x v="16"/>
    <x v="15"/>
    <x v="16"/>
  </r>
  <r>
    <x v="7"/>
    <x v="28"/>
    <x v="0"/>
    <x v="5"/>
    <d v="2026-04-17T19:50:00"/>
    <d v="2026-04-18T03:51:00"/>
    <x v="11"/>
    <n v="1713"/>
    <s v="PIQUE PA VERMELHO"/>
    <x v="0"/>
    <x v="2"/>
    <x v="2"/>
    <x v="16"/>
    <x v="15"/>
    <x v="16"/>
  </r>
  <r>
    <x v="0"/>
    <x v="29"/>
    <x v="1"/>
    <x v="4"/>
    <d v="2026-04-17T20:23:00"/>
    <d v="2026-04-17T23:24:00"/>
    <x v="6"/>
    <n v="1254"/>
    <s v="M/M 30/1 PENTEADO CINZA CLARO"/>
    <x v="0"/>
    <x v="1"/>
    <x v="1"/>
    <x v="10"/>
    <x v="9"/>
    <x v="10"/>
  </r>
  <r>
    <x v="8"/>
    <x v="30"/>
    <x v="0"/>
    <x v="6"/>
    <d v="2026-04-17T20:33:00"/>
    <d v="2026-04-17T21:59:00"/>
    <x v="9"/>
    <n v="1825"/>
    <s v="POLIÉSTER FIADO BRANCO"/>
    <x v="0"/>
    <x v="2"/>
    <x v="2"/>
    <x v="17"/>
    <x v="13"/>
    <x v="17"/>
  </r>
  <r>
    <x v="8"/>
    <x v="31"/>
    <x v="0"/>
    <x v="6"/>
    <d v="2026-04-17T20:33:00"/>
    <d v="2026-04-17T21:59:00"/>
    <x v="9"/>
    <n v="1825"/>
    <s v="POLIÉSTER FIADO BRANCO"/>
    <x v="0"/>
    <x v="2"/>
    <x v="2"/>
    <x v="17"/>
    <x v="13"/>
    <x v="17"/>
  </r>
  <r>
    <x v="9"/>
    <x v="32"/>
    <x v="0"/>
    <x v="7"/>
    <d v="2026-04-17T20:55:00"/>
    <d v="2026-04-18T02:56:00"/>
    <x v="6"/>
    <n v="1492"/>
    <s v="M/M 30/1 PENTEADO MARROM"/>
    <x v="0"/>
    <x v="1"/>
    <x v="2"/>
    <x v="18"/>
    <x v="16"/>
    <x v="18"/>
  </r>
  <r>
    <x v="9"/>
    <x v="33"/>
    <x v="0"/>
    <x v="7"/>
    <d v="2026-04-17T20:55:00"/>
    <d v="2026-04-18T02:56:00"/>
    <x v="5"/>
    <n v="14569"/>
    <s v="RIBANA 30/1 OE MARROM"/>
    <x v="0"/>
    <x v="1"/>
    <x v="2"/>
    <x v="18"/>
    <x v="16"/>
    <x v="18"/>
  </r>
  <r>
    <x v="0"/>
    <x v="34"/>
    <x v="1"/>
    <x v="9"/>
    <d v="2026-04-17T21:41:00"/>
    <d v="2026-04-18T00:41:00"/>
    <x v="3"/>
    <n v="354"/>
    <s v="M/M 24/1 18 TRAMAS AMARELO BEBÊ"/>
    <x v="0"/>
    <x v="1"/>
    <x v="1"/>
    <x v="10"/>
    <x v="9"/>
    <x v="10"/>
  </r>
  <r>
    <x v="0"/>
    <x v="35"/>
    <x v="0"/>
    <x v="6"/>
    <d v="2026-04-17T22:00:00"/>
    <d v="2026-04-18T01:18:00"/>
    <x v="3"/>
    <n v="1651"/>
    <s v="M/M 24/1 18 TRAMAS BRANCO"/>
    <x v="0"/>
    <x v="2"/>
    <x v="2"/>
    <x v="19"/>
    <x v="13"/>
    <x v="19"/>
  </r>
  <r>
    <x v="0"/>
    <x v="36"/>
    <x v="0"/>
    <x v="3"/>
    <d v="2026-04-17T22:12:00"/>
    <d v="2026-04-18T04:13:00"/>
    <x v="3"/>
    <n v="1389"/>
    <s v="M/M 24/1 18 TRAMAS VERDE MILITAR"/>
    <x v="0"/>
    <x v="1"/>
    <x v="2"/>
    <x v="20"/>
    <x v="17"/>
    <x v="20"/>
  </r>
  <r>
    <x v="10"/>
    <x v="37"/>
    <x v="1"/>
    <x v="2"/>
    <d v="2026-04-17T22:26:00"/>
    <d v="2026-04-18T03:11:00"/>
    <x v="1"/>
    <n v="11944"/>
    <s v="VISCOLYCRA VORTEX PRETO"/>
    <x v="1"/>
    <x v="0"/>
    <x v="1"/>
    <x v="10"/>
    <x v="9"/>
    <x v="10"/>
  </r>
  <r>
    <x v="10"/>
    <x v="38"/>
    <x v="1"/>
    <x v="2"/>
    <d v="2026-04-17T22:26:00"/>
    <d v="2026-04-18T03:11:00"/>
    <x v="1"/>
    <n v="11944"/>
    <s v="VISCOLYCRA VORTEX PRETO"/>
    <x v="1"/>
    <x v="0"/>
    <x v="1"/>
    <x v="10"/>
    <x v="9"/>
    <x v="10"/>
  </r>
  <r>
    <x v="0"/>
    <x v="39"/>
    <x v="1"/>
    <x v="8"/>
    <d v="2026-04-17T22:27:00"/>
    <d v="2026-04-18T00:50:00"/>
    <x v="6"/>
    <n v="258"/>
    <s v="M/M 30/1 PENTEADO MARFIM"/>
    <x v="0"/>
    <x v="1"/>
    <x v="1"/>
    <x v="10"/>
    <x v="9"/>
    <x v="10"/>
  </r>
  <r>
    <x v="0"/>
    <x v="40"/>
    <x v="0"/>
    <x v="0"/>
    <d v="2026-04-17T23:05:00"/>
    <d v="2026-04-18T04:57:00"/>
    <x v="0"/>
    <n v="16658"/>
    <s v="MOLETOM PA TUBULAR PRETO"/>
    <x v="2"/>
    <x v="0"/>
    <x v="2"/>
    <x v="21"/>
    <x v="18"/>
    <x v="21"/>
  </r>
  <r>
    <x v="11"/>
    <x v="41"/>
    <x v="1"/>
    <x v="4"/>
    <d v="2026-04-17T23:25:00"/>
    <d v="2026-04-18T00:48:00"/>
    <x v="12"/>
    <n v="14539"/>
    <s v="MOLETOM MESCLA PA TUBULAR"/>
    <x v="0"/>
    <x v="1"/>
    <x v="1"/>
    <x v="10"/>
    <x v="9"/>
    <x v="10"/>
  </r>
  <r>
    <x v="11"/>
    <x v="42"/>
    <x v="1"/>
    <x v="4"/>
    <d v="2026-04-17T23:25:00"/>
    <d v="2026-04-18T00:48:00"/>
    <x v="12"/>
    <n v="14539"/>
    <s v="MOLETOM MESCLA PA TUBULAR"/>
    <x v="0"/>
    <x v="1"/>
    <x v="1"/>
    <x v="10"/>
    <x v="9"/>
    <x v="10"/>
  </r>
  <r>
    <x v="0"/>
    <x v="43"/>
    <x v="1"/>
    <x v="10"/>
    <d v="2026-04-17T23:36:00"/>
    <d v="2026-04-18T02:36:00"/>
    <x v="3"/>
    <n v="2381"/>
    <s v="M/M 24/1 18 TRAMAS ROSA BEBÊ"/>
    <x v="0"/>
    <x v="1"/>
    <x v="1"/>
    <x v="10"/>
    <x v="9"/>
    <x v="10"/>
  </r>
  <r>
    <x v="12"/>
    <x v="44"/>
    <x v="0"/>
    <x v="1"/>
    <d v="2026-04-17T23:41:00"/>
    <d v="2026-04-18T05:07:00"/>
    <x v="1"/>
    <n v="12250"/>
    <s v="VISCOLYCRA VORTEX VINHO"/>
    <x v="0"/>
    <x v="1"/>
    <x v="2"/>
    <x v="22"/>
    <x v="19"/>
    <x v="22"/>
  </r>
  <r>
    <x v="12"/>
    <x v="45"/>
    <x v="0"/>
    <x v="1"/>
    <d v="2026-04-17T23:41:00"/>
    <d v="2026-04-18T05:07:00"/>
    <x v="1"/>
    <n v="12250"/>
    <s v="VISCOLYCRA VORTEX VINHO"/>
    <x v="0"/>
    <x v="1"/>
    <x v="2"/>
    <x v="22"/>
    <x v="19"/>
    <x v="22"/>
  </r>
  <r>
    <x v="0"/>
    <x v="46"/>
    <x v="1"/>
    <x v="9"/>
    <d v="2026-04-18T00:42:00"/>
    <d v="2026-04-18T03:37:00"/>
    <x v="3"/>
    <n v="1319"/>
    <s v="M/M 24/1 18 TRAMAS ROSA CHICLETE"/>
    <x v="0"/>
    <x v="1"/>
    <x v="1"/>
    <x v="10"/>
    <x v="9"/>
    <x v="10"/>
  </r>
  <r>
    <x v="13"/>
    <x v="47"/>
    <x v="1"/>
    <x v="4"/>
    <d v="2026-04-18T00:49:00"/>
    <d v="2026-04-18T08:50:00"/>
    <x v="0"/>
    <n v="14533"/>
    <s v="MOLETOM PA TUBULAR AMARELO OURO"/>
    <x v="2"/>
    <x v="3"/>
    <x v="1"/>
    <x v="10"/>
    <x v="9"/>
    <x v="10"/>
  </r>
  <r>
    <x v="13"/>
    <x v="48"/>
    <x v="1"/>
    <x v="4"/>
    <d v="2026-04-18T00:49:00"/>
    <d v="2026-04-18T08:50:00"/>
    <x v="0"/>
    <n v="14533"/>
    <s v="MOLETOM PA TUBULAR AMARELO OURO"/>
    <x v="2"/>
    <x v="3"/>
    <x v="1"/>
    <x v="10"/>
    <x v="9"/>
    <x v="10"/>
  </r>
  <r>
    <x v="13"/>
    <x v="49"/>
    <x v="1"/>
    <x v="4"/>
    <d v="2026-04-18T00:49:00"/>
    <d v="2026-04-18T08:50:00"/>
    <x v="0"/>
    <n v="14533"/>
    <s v="MOLETOM PA TUBULAR AMARELO OURO"/>
    <x v="2"/>
    <x v="3"/>
    <x v="1"/>
    <x v="10"/>
    <x v="9"/>
    <x v="10"/>
  </r>
  <r>
    <x v="0"/>
    <x v="50"/>
    <x v="1"/>
    <x v="8"/>
    <d v="2026-04-18T00:51:00"/>
    <d v="2026-04-18T04:25:00"/>
    <x v="3"/>
    <n v="1651"/>
    <s v="M/M 24/1 18 TRAMAS BRANCO"/>
    <x v="1"/>
    <x v="3"/>
    <x v="1"/>
    <x v="10"/>
    <x v="9"/>
    <x v="10"/>
  </r>
  <r>
    <x v="14"/>
    <x v="51"/>
    <x v="1"/>
    <x v="6"/>
    <d v="2026-04-18T01:19:00"/>
    <d v="2026-04-18T04:37:00"/>
    <x v="13"/>
    <n v="22375"/>
    <s v="M/M 30/1 CARDADA OE LIGHT BRANCO"/>
    <x v="1"/>
    <x v="3"/>
    <x v="1"/>
    <x v="10"/>
    <x v="9"/>
    <x v="10"/>
  </r>
  <r>
    <x v="14"/>
    <x v="52"/>
    <x v="1"/>
    <x v="6"/>
    <d v="2026-04-18T01:19:00"/>
    <d v="2026-04-18T04:37:00"/>
    <x v="5"/>
    <n v="9786"/>
    <s v="RIBANA 30/1 OE BRANCO"/>
    <x v="1"/>
    <x v="3"/>
    <x v="1"/>
    <x v="10"/>
    <x v="9"/>
    <x v="10"/>
  </r>
  <r>
    <x v="0"/>
    <x v="53"/>
    <x v="1"/>
    <x v="10"/>
    <d v="2026-04-18T02:37:00"/>
    <d v="2026-04-18T05:37:00"/>
    <x v="3"/>
    <n v="404"/>
    <s v="M/M 24/1 18 TRAMAS SALMAO BEBÊ"/>
    <x v="0"/>
    <x v="1"/>
    <x v="1"/>
    <x v="10"/>
    <x v="9"/>
    <x v="10"/>
  </r>
  <r>
    <x v="0"/>
    <x v="54"/>
    <x v="0"/>
    <x v="7"/>
    <d v="2026-04-18T02:57:00"/>
    <d v="2026-04-18T08:58:00"/>
    <x v="6"/>
    <n v="1342"/>
    <s v="M/M 30/1 PENTEADO MARINHO"/>
    <x v="0"/>
    <x v="1"/>
    <x v="2"/>
    <x v="23"/>
    <x v="20"/>
    <x v="23"/>
  </r>
  <r>
    <x v="0"/>
    <x v="55"/>
    <x v="1"/>
    <x v="9"/>
    <d v="2026-04-18T03:38:00"/>
    <d v="2026-04-18T08:08:00"/>
    <x v="0"/>
    <n v="16982"/>
    <s v="MOLETOM PA TUBULAR ROSA BEBÊ"/>
    <x v="1"/>
    <x v="3"/>
    <x v="1"/>
    <x v="10"/>
    <x v="9"/>
    <x v="10"/>
  </r>
  <r>
    <x v="15"/>
    <x v="56"/>
    <x v="1"/>
    <x v="5"/>
    <d v="2026-04-18T03:52:00"/>
    <d v="2026-04-18T10:29:00"/>
    <x v="5"/>
    <n v="11394"/>
    <s v="RIBANA 30/1 OE VERMELHO"/>
    <x v="1"/>
    <x v="3"/>
    <x v="1"/>
    <x v="10"/>
    <x v="9"/>
    <x v="10"/>
  </r>
  <r>
    <x v="15"/>
    <x v="57"/>
    <x v="1"/>
    <x v="5"/>
    <d v="2026-04-18T03:52:00"/>
    <d v="2026-04-18T10:29:00"/>
    <x v="13"/>
    <n v="22384"/>
    <s v="M/M 30/1 CARDADA OE LIGHT VERMELHO"/>
    <x v="1"/>
    <x v="3"/>
    <x v="1"/>
    <x v="10"/>
    <x v="9"/>
    <x v="10"/>
  </r>
  <r>
    <x v="16"/>
    <x v="58"/>
    <x v="1"/>
    <x v="0"/>
    <d v="2026-04-18T04:58:00"/>
    <d v="2026-04-18T08:55:00"/>
    <x v="4"/>
    <n v="1807"/>
    <s v="M/M 30/1 CARDADA OE PRETO"/>
    <x v="1"/>
    <x v="3"/>
    <x v="1"/>
    <x v="10"/>
    <x v="9"/>
    <x v="10"/>
  </r>
  <r>
    <x v="16"/>
    <x v="59"/>
    <x v="1"/>
    <x v="0"/>
    <d v="2026-04-18T04:58:00"/>
    <d v="2026-04-18T08:55:00"/>
    <x v="5"/>
    <n v="9785"/>
    <s v="RIBANA 30/1 OE PRETO"/>
    <x v="1"/>
    <x v="3"/>
    <x v="1"/>
    <x v="10"/>
    <x v="9"/>
    <x v="10"/>
  </r>
  <r>
    <x v="17"/>
    <x v="60"/>
    <x v="1"/>
    <x v="0"/>
    <d v="2026-04-18T08:56:00"/>
    <d v="2026-04-18T14:57:00"/>
    <x v="5"/>
    <n v="11055"/>
    <s v="RIBANA 30/1 OE MARINHO"/>
    <x v="1"/>
    <x v="3"/>
    <x v="1"/>
    <x v="10"/>
    <x v="9"/>
    <x v="10"/>
  </r>
  <r>
    <x v="17"/>
    <x v="61"/>
    <x v="1"/>
    <x v="0"/>
    <d v="2026-04-18T08:56:00"/>
    <d v="2026-04-18T14:57:00"/>
    <x v="13"/>
    <n v="22382"/>
    <s v="M/M 30/1 CARDADA OE LIGHT MARINHO"/>
    <x v="1"/>
    <x v="3"/>
    <x v="1"/>
    <x v="10"/>
    <x v="9"/>
    <x v="10"/>
  </r>
  <r>
    <x v="18"/>
    <x v="62"/>
    <x v="1"/>
    <x v="7"/>
    <d v="2026-04-18T08:59:00"/>
    <d v="2026-04-18T12:56:00"/>
    <x v="13"/>
    <n v="22381"/>
    <s v="M/M 30/1 CARDADA OE LIGHT PRETO"/>
    <x v="1"/>
    <x v="3"/>
    <x v="1"/>
    <x v="10"/>
    <x v="9"/>
    <x v="10"/>
  </r>
  <r>
    <x v="18"/>
    <x v="63"/>
    <x v="1"/>
    <x v="7"/>
    <d v="2026-04-18T08:59:00"/>
    <d v="2026-04-18T12:56:00"/>
    <x v="5"/>
    <n v="9785"/>
    <s v="RIBANA 30/1 OE PRETO"/>
    <x v="1"/>
    <x v="3"/>
    <x v="1"/>
    <x v="10"/>
    <x v="9"/>
    <x v="10"/>
  </r>
  <r>
    <x v="0"/>
    <x v="64"/>
    <x v="1"/>
    <x v="0"/>
    <d v="2026-04-18T14:58:00"/>
    <d v="2026-04-18T18:55:00"/>
    <x v="4"/>
    <n v="1807"/>
    <s v="M/M 30/1 CARDADA OE PRETO"/>
    <x v="1"/>
    <x v="3"/>
    <x v="1"/>
    <x v="10"/>
    <x v="9"/>
    <x v="10"/>
  </r>
  <r>
    <x v="0"/>
    <x v="65"/>
    <x v="1"/>
    <x v="9"/>
    <d v="2026-04-19T22:30:00"/>
    <d v="2026-04-20T01:30:00"/>
    <x v="14"/>
    <n v="2744"/>
    <s v="HELANCA SUEDINE 100%CO ROSA BEBÊ"/>
    <x v="1"/>
    <x v="3"/>
    <x v="1"/>
    <x v="10"/>
    <x v="9"/>
    <x v="10"/>
  </r>
  <r>
    <x v="0"/>
    <x v="66"/>
    <x v="1"/>
    <x v="6"/>
    <d v="2026-04-19T22:30:00"/>
    <d v="2026-04-20T01:30:00"/>
    <x v="3"/>
    <n v="354"/>
    <s v="M/M 24/1 18 TRAMAS AMARELO BEBÊ"/>
    <x v="0"/>
    <x v="1"/>
    <x v="1"/>
    <x v="10"/>
    <x v="9"/>
    <x v="10"/>
  </r>
  <r>
    <x v="0"/>
    <x v="67"/>
    <x v="1"/>
    <x v="10"/>
    <d v="2026-04-19T22:30:00"/>
    <d v="2026-04-20T01:30:00"/>
    <x v="3"/>
    <n v="404"/>
    <s v="M/M 24/1 18 TRAMAS SALMAO BEBÊ"/>
    <x v="0"/>
    <x v="1"/>
    <x v="1"/>
    <x v="10"/>
    <x v="9"/>
    <x v="10"/>
  </r>
  <r>
    <x v="0"/>
    <x v="68"/>
    <x v="1"/>
    <x v="4"/>
    <d v="2026-04-19T22:30:00"/>
    <d v="2026-04-20T04:31:00"/>
    <x v="3"/>
    <n v="1469"/>
    <s v="M/M 24/1 18 TRAMAS VINHO"/>
    <x v="1"/>
    <x v="3"/>
    <x v="1"/>
    <x v="10"/>
    <x v="9"/>
    <x v="10"/>
  </r>
  <r>
    <x v="19"/>
    <x v="69"/>
    <x v="1"/>
    <x v="1"/>
    <d v="2026-04-19T22:30:00"/>
    <d v="2026-04-20T07:29:00"/>
    <x v="15"/>
    <n v="1444"/>
    <s v="M/M 30/1 PV ROYAL"/>
    <x v="0"/>
    <x v="1"/>
    <x v="1"/>
    <x v="10"/>
    <x v="9"/>
    <x v="10"/>
  </r>
  <r>
    <x v="19"/>
    <x v="70"/>
    <x v="1"/>
    <x v="1"/>
    <d v="2026-04-19T22:30:00"/>
    <d v="2026-04-20T07:29:00"/>
    <x v="15"/>
    <n v="1444"/>
    <s v="M/M 30/1 PV ROYAL"/>
    <x v="0"/>
    <x v="1"/>
    <x v="1"/>
    <x v="10"/>
    <x v="9"/>
    <x v="10"/>
  </r>
  <r>
    <x v="0"/>
    <x v="71"/>
    <x v="1"/>
    <x v="8"/>
    <d v="2026-04-19T22:30:00"/>
    <d v="2026-04-20T00:10:00"/>
    <x v="9"/>
    <n v="1825"/>
    <s v="POLIÉSTER FIADO BRANCO"/>
    <x v="0"/>
    <x v="1"/>
    <x v="1"/>
    <x v="10"/>
    <x v="9"/>
    <x v="10"/>
  </r>
  <r>
    <x v="0"/>
    <x v="72"/>
    <x v="1"/>
    <x v="3"/>
    <d v="2026-04-19T22:30:00"/>
    <d v="2026-04-20T03:29:00"/>
    <x v="9"/>
    <n v="2854"/>
    <s v="POLIÉSTER FIADO ROYAL"/>
    <x v="1"/>
    <x v="3"/>
    <x v="1"/>
    <x v="10"/>
    <x v="9"/>
    <x v="10"/>
  </r>
  <r>
    <x v="20"/>
    <x v="73"/>
    <x v="1"/>
    <x v="5"/>
    <d v="2026-04-19T22:30:00"/>
    <d v="2026-04-20T04:31:00"/>
    <x v="5"/>
    <n v="14569"/>
    <s v="RIBANA 30/1 OE MARROM"/>
    <x v="1"/>
    <x v="3"/>
    <x v="1"/>
    <x v="10"/>
    <x v="9"/>
    <x v="10"/>
  </r>
  <r>
    <x v="21"/>
    <x v="74"/>
    <x v="1"/>
    <x v="0"/>
    <d v="2026-04-19T22:30:00"/>
    <d v="2026-04-20T02:27:00"/>
    <x v="5"/>
    <n v="9785"/>
    <s v="RIBANA 30/1 OE PRETO"/>
    <x v="1"/>
    <x v="3"/>
    <x v="1"/>
    <x v="10"/>
    <x v="9"/>
    <x v="10"/>
  </r>
  <r>
    <x v="20"/>
    <x v="75"/>
    <x v="1"/>
    <x v="5"/>
    <d v="2026-04-19T22:30:00"/>
    <d v="2026-04-20T04:31:00"/>
    <x v="13"/>
    <n v="22386"/>
    <s v="M/M 30/1 CARDADA OE LIGHT MARROM"/>
    <x v="1"/>
    <x v="3"/>
    <x v="1"/>
    <x v="10"/>
    <x v="9"/>
    <x v="10"/>
  </r>
  <r>
    <x v="0"/>
    <x v="76"/>
    <x v="1"/>
    <x v="2"/>
    <d v="2026-04-19T22:30:00"/>
    <d v="2026-04-20T03:15:00"/>
    <x v="16"/>
    <n v="22104"/>
    <s v="VISCOLYCRA VORTEX LIGHT PRETO"/>
    <x v="0"/>
    <x v="1"/>
    <x v="1"/>
    <x v="10"/>
    <x v="9"/>
    <x v="10"/>
  </r>
  <r>
    <x v="21"/>
    <x v="77"/>
    <x v="1"/>
    <x v="0"/>
    <d v="2026-04-19T22:30:00"/>
    <d v="2026-04-20T02:27:00"/>
    <x v="13"/>
    <n v="22381"/>
    <s v="M/M 30/1 CARDADA OE LIGHT PRETO"/>
    <x v="1"/>
    <x v="3"/>
    <x v="1"/>
    <x v="10"/>
    <x v="9"/>
    <x v="10"/>
  </r>
  <r>
    <x v="21"/>
    <x v="78"/>
    <x v="1"/>
    <x v="0"/>
    <d v="2026-04-19T22:30:00"/>
    <d v="2026-04-20T02:27:00"/>
    <x v="13"/>
    <n v="22381"/>
    <s v="M/M 30/1 CARDADA OE LIGHT PRETO"/>
    <x v="1"/>
    <x v="3"/>
    <x v="1"/>
    <x v="10"/>
    <x v="9"/>
    <x v="10"/>
  </r>
  <r>
    <x v="0"/>
    <x v="79"/>
    <x v="1"/>
    <x v="6"/>
    <d v="2026-04-20T01:31:00"/>
    <d v="2026-04-20T03:40:00"/>
    <x v="3"/>
    <n v="254"/>
    <s v="M/M 24/1 18 TRAMAS MARFIM"/>
    <x v="1"/>
    <x v="3"/>
    <x v="1"/>
    <x v="10"/>
    <x v="9"/>
    <x v="10"/>
  </r>
  <r>
    <x v="0"/>
    <x v="80"/>
    <x v="1"/>
    <x v="10"/>
    <d v="2026-04-20T01:31:00"/>
    <d v="2026-04-20T05:27:00"/>
    <x v="3"/>
    <n v="1261"/>
    <s v="M/M 24/1 18 TRAMAS VERDE BEBÊ"/>
    <x v="1"/>
    <x v="3"/>
    <x v="1"/>
    <x v="10"/>
    <x v="9"/>
    <x v="10"/>
  </r>
  <r>
    <x v="0"/>
    <x v="81"/>
    <x v="1"/>
    <x v="9"/>
    <d v="2026-04-20T01:31:00"/>
    <d v="2026-04-20T04:32:00"/>
    <x v="14"/>
    <n v="2384"/>
    <s v="HELANCA SUEDINE 100%CO CINZA CLARO"/>
    <x v="1"/>
    <x v="3"/>
    <x v="1"/>
    <x v="10"/>
    <x v="9"/>
    <x v="10"/>
  </r>
  <r>
    <x v="0"/>
    <x v="82"/>
    <x v="1"/>
    <x v="0"/>
    <d v="2026-04-20T02:28:00"/>
    <d v="2026-04-20T06:08:00"/>
    <x v="9"/>
    <n v="2599"/>
    <s v="POLIÉSTER FIADO PRETO"/>
    <x v="0"/>
    <x v="1"/>
    <x v="1"/>
    <x v="10"/>
    <x v="9"/>
    <x v="10"/>
  </r>
  <r>
    <x v="0"/>
    <x v="83"/>
    <x v="1"/>
    <x v="2"/>
    <d v="2026-04-20T03:16:00"/>
    <d v="2026-04-20T08:01:00"/>
    <x v="16"/>
    <n v="22104"/>
    <s v="VISCOLYCRA VORTEX LIGHT PRETO"/>
    <x v="1"/>
    <x v="3"/>
    <x v="1"/>
    <x v="10"/>
    <x v="9"/>
    <x v="10"/>
  </r>
  <r>
    <x v="0"/>
    <x v="84"/>
    <x v="1"/>
    <x v="3"/>
    <d v="2026-04-20T03:30:00"/>
    <d v="2026-04-20T11:02:00"/>
    <x v="3"/>
    <n v="1439"/>
    <s v="M/M 24/1 18 TRAMAS ROYAL"/>
    <x v="1"/>
    <x v="3"/>
    <x v="1"/>
    <x v="10"/>
    <x v="9"/>
    <x v="10"/>
  </r>
  <r>
    <x v="0"/>
    <x v="85"/>
    <x v="1"/>
    <x v="6"/>
    <d v="2026-04-20T03:41:00"/>
    <d v="2026-04-20T05:50:00"/>
    <x v="14"/>
    <n v="271"/>
    <s v="HELANCA SUEDINE 100%CO MARFIM"/>
    <x v="1"/>
    <x v="3"/>
    <x v="1"/>
    <x v="10"/>
    <x v="9"/>
    <x v="10"/>
  </r>
  <r>
    <x v="22"/>
    <x v="86"/>
    <x v="1"/>
    <x v="10"/>
    <d v="2026-04-20T05:28:00"/>
    <d v="2026-04-20T08:23:00"/>
    <x v="17"/>
    <n v="22648"/>
    <s v="RIBANA 2X1 24/1 OE ROSA CHICLETE"/>
    <x v="1"/>
    <x v="3"/>
    <x v="1"/>
    <x v="10"/>
    <x v="9"/>
    <x v="10"/>
  </r>
  <r>
    <x v="22"/>
    <x v="87"/>
    <x v="1"/>
    <x v="10"/>
    <d v="2026-04-20T05:28:00"/>
    <d v="2026-04-20T08:23:00"/>
    <x v="6"/>
    <n v="1322"/>
    <s v="M/M 30/1 PENTEADO ROSA CHICLETE"/>
    <x v="1"/>
    <x v="3"/>
    <x v="1"/>
    <x v="10"/>
    <x v="9"/>
    <x v="10"/>
  </r>
  <r>
    <x v="0"/>
    <x v="88"/>
    <x v="1"/>
    <x v="6"/>
    <d v="2026-04-20T05:51:00"/>
    <d v="2026-04-20T07:17:00"/>
    <x v="15"/>
    <n v="210"/>
    <s v="M/M 30/1 PV BRANCO 1F"/>
    <x v="1"/>
    <x v="3"/>
    <x v="1"/>
    <x v="10"/>
    <x v="9"/>
    <x v="10"/>
  </r>
  <r>
    <x v="23"/>
    <x v="89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0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1"/>
    <x v="1"/>
    <x v="0"/>
    <d v="2026-04-20T06:09:00"/>
    <d v="2026-04-20T10:06:00"/>
    <x v="6"/>
    <n v="1332"/>
    <s v="M/M 30/1 PENTEADO PRETO"/>
    <x v="1"/>
    <x v="3"/>
    <x v="1"/>
    <x v="10"/>
    <x v="9"/>
    <x v="10"/>
  </r>
  <r>
    <x v="23"/>
    <x v="92"/>
    <x v="1"/>
    <x v="0"/>
    <d v="2026-04-20T06:09:00"/>
    <d v="2026-04-20T10:06:00"/>
    <x v="6"/>
    <n v="1332"/>
    <s v="M/M 30/1 PENTEADO PRETO"/>
    <x v="1"/>
    <x v="3"/>
    <x v="1"/>
    <x v="10"/>
    <x v="9"/>
    <x v="10"/>
  </r>
  <r>
    <x v="23"/>
    <x v="93"/>
    <x v="1"/>
    <x v="0"/>
    <d v="2026-04-20T06:09:00"/>
    <d v="2026-04-20T10:06:00"/>
    <x v="6"/>
    <n v="1332"/>
    <s v="M/M 30/1 PENTEADO PRETO"/>
    <x v="1"/>
    <x v="3"/>
    <x v="1"/>
    <x v="10"/>
    <x v="9"/>
    <x v="10"/>
  </r>
  <r>
    <x v="23"/>
    <x v="94"/>
    <x v="1"/>
    <x v="0"/>
    <d v="2026-04-20T06:09:00"/>
    <d v="2026-04-20T10:06:00"/>
    <x v="6"/>
    <n v="1332"/>
    <s v="M/M 30/1 PENTEADO PRETO"/>
    <x v="1"/>
    <x v="3"/>
    <x v="1"/>
    <x v="10"/>
    <x v="9"/>
    <x v="10"/>
  </r>
  <r>
    <x v="23"/>
    <x v="95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6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7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8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99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100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23"/>
    <x v="101"/>
    <x v="1"/>
    <x v="0"/>
    <d v="2026-04-20T06:09:00"/>
    <d v="2026-04-20T10:06:00"/>
    <x v="4"/>
    <n v="1807"/>
    <s v="M/M 30/1 CARDADA OE PRETO"/>
    <x v="1"/>
    <x v="3"/>
    <x v="1"/>
    <x v="10"/>
    <x v="9"/>
    <x v="10"/>
  </r>
  <r>
    <x v="0"/>
    <x v="102"/>
    <x v="1"/>
    <x v="6"/>
    <d v="2026-04-20T07:18:00"/>
    <d v="2026-04-20T08:50:00"/>
    <x v="1"/>
    <n v="12246"/>
    <s v="VISCOLYCRA VORTEX MARFIM"/>
    <x v="1"/>
    <x v="3"/>
    <x v="1"/>
    <x v="10"/>
    <x v="9"/>
    <x v="10"/>
  </r>
  <r>
    <x v="0"/>
    <x v="103"/>
    <x v="1"/>
    <x v="2"/>
    <d v="2026-04-20T08:02:00"/>
    <d v="2026-04-20T12:47:00"/>
    <x v="16"/>
    <n v="22104"/>
    <s v="VISCOLYCRA VORTEX LIGHT PRETO"/>
    <x v="1"/>
    <x v="3"/>
    <x v="1"/>
    <x v="10"/>
    <x v="9"/>
    <x v="10"/>
  </r>
  <r>
    <x v="24"/>
    <x v="104"/>
    <x v="1"/>
    <x v="10"/>
    <d v="2026-04-20T08:24:00"/>
    <d v="2026-04-20T11:19:00"/>
    <x v="4"/>
    <n v="2430"/>
    <s v="M/M 30/1 CARDADA OE ROSA CHICLETE"/>
    <x v="1"/>
    <x v="3"/>
    <x v="1"/>
    <x v="10"/>
    <x v="9"/>
    <x v="10"/>
  </r>
  <r>
    <x v="24"/>
    <x v="105"/>
    <x v="1"/>
    <x v="10"/>
    <d v="2026-04-20T08:24:00"/>
    <d v="2026-04-20T11:19:00"/>
    <x v="17"/>
    <n v="22648"/>
    <s v="RIBANA 2X1 24/1 OE ROSA CHICLETE"/>
    <x v="1"/>
    <x v="3"/>
    <x v="1"/>
    <x v="10"/>
    <x v="9"/>
    <x v="10"/>
  </r>
  <r>
    <x v="0"/>
    <x v="106"/>
    <x v="1"/>
    <x v="6"/>
    <d v="2026-04-20T08:51:00"/>
    <d v="2026-04-20T12:09:00"/>
    <x v="14"/>
    <n v="221"/>
    <s v="HELANCA SUEDINE 100%CO BRANCO"/>
    <x v="1"/>
    <x v="3"/>
    <x v="1"/>
    <x v="10"/>
    <x v="9"/>
    <x v="10"/>
  </r>
  <r>
    <x v="0"/>
    <x v="107"/>
    <x v="1"/>
    <x v="2"/>
    <d v="2026-04-20T12:48:00"/>
    <d v="2026-04-20T17:33:00"/>
    <x v="16"/>
    <n v="22104"/>
    <s v="VISCOLYCRA VORTEX LIGHT PRETO"/>
    <x v="1"/>
    <x v="3"/>
    <x v="1"/>
    <x v="10"/>
    <x v="9"/>
    <x v="10"/>
  </r>
  <r>
    <x v="0"/>
    <x v="108"/>
    <x v="1"/>
    <x v="6"/>
    <d v="2026-04-21T11:38:00"/>
    <d v="2026-04-21T13:47:00"/>
    <x v="18"/>
    <n v="261"/>
    <s v="COTTON 4% OE MARFIM"/>
    <x v="1"/>
    <x v="3"/>
    <x v="1"/>
    <x v="10"/>
    <x v="9"/>
    <x v="10"/>
  </r>
  <r>
    <x v="0"/>
    <x v="109"/>
    <x v="1"/>
    <x v="8"/>
    <d v="2026-04-21T16:57:00"/>
    <d v="2026-04-21T18:37:00"/>
    <x v="15"/>
    <n v="210"/>
    <s v="M/M 30/1 PV BRANCO 1F"/>
    <x v="0"/>
    <x v="1"/>
    <x v="1"/>
    <x v="10"/>
    <x v="9"/>
    <x v="10"/>
  </r>
  <r>
    <x v="0"/>
    <x v="110"/>
    <x v="1"/>
    <x v="4"/>
    <d v="2026-04-21T17:51:00"/>
    <d v="2026-04-22T00:58:00"/>
    <x v="6"/>
    <n v="7409"/>
    <s v="M/M 30/1 PENTEADO CARAMELO"/>
    <x v="1"/>
    <x v="3"/>
    <x v="1"/>
    <x v="10"/>
    <x v="9"/>
    <x v="10"/>
  </r>
  <r>
    <x v="0"/>
    <x v="111"/>
    <x v="1"/>
    <x v="8"/>
    <d v="2026-04-21T18:38:00"/>
    <d v="2026-04-21T22:12:00"/>
    <x v="14"/>
    <n v="221"/>
    <s v="HELANCA SUEDINE 100%CO BRANCO"/>
    <x v="1"/>
    <x v="0"/>
    <x v="1"/>
    <x v="10"/>
    <x v="9"/>
    <x v="10"/>
  </r>
  <r>
    <x v="0"/>
    <x v="112"/>
    <x v="1"/>
    <x v="8"/>
    <d v="2026-04-21T22:13:00"/>
    <d v="2026-04-21T23:53:00"/>
    <x v="15"/>
    <n v="210"/>
    <s v="M/M 30/1 PV BRANCO 1F"/>
    <x v="0"/>
    <x v="1"/>
    <x v="1"/>
    <x v="10"/>
    <x v="9"/>
    <x v="10"/>
  </r>
  <r>
    <x v="0"/>
    <x v="113"/>
    <x v="1"/>
    <x v="4"/>
    <d v="2026-04-22T00:59:00"/>
    <d v="2026-04-22T08:06:00"/>
    <x v="3"/>
    <n v="9453"/>
    <s v="M/M 24/1 18 TRAMAS CARAMELO"/>
    <x v="1"/>
    <x v="3"/>
    <x v="1"/>
    <x v="10"/>
    <x v="9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20" firstHeaderRow="1" firstDataRow="1" firstDataCol="1" rowPageCount="1" colPageCount="1"/>
  <pivotFields count="15">
    <pivotField axis="axisRow" showAll="0" defaultSubtotal="0">
      <items count="25">
        <item x="0"/>
        <item x="2"/>
        <item x="1"/>
        <item x="4"/>
        <item x="3"/>
        <item x="5"/>
        <item x="6"/>
        <item x="8"/>
        <item x="10"/>
        <item x="11"/>
        <item x="13"/>
        <item x="7"/>
        <item x="9"/>
        <item x="12"/>
        <item x="14"/>
        <item x="15"/>
        <item x="16"/>
        <item x="17"/>
        <item x="18"/>
        <item x="21"/>
        <item x="20"/>
        <item x="19"/>
        <item x="22"/>
        <item x="23"/>
        <item x="24"/>
      </items>
    </pivotField>
    <pivotField axis="axisRow" showAll="0" sortType="ascending" defaultSubtotal="0">
      <items count="114">
        <item x="0"/>
        <item x="3"/>
        <item x="4"/>
        <item x="6"/>
        <item x="5"/>
        <item x="1"/>
        <item x="2"/>
        <item x="7"/>
        <item x="10"/>
        <item x="11"/>
        <item x="9"/>
        <item x="8"/>
        <item x="14"/>
        <item x="12"/>
        <item x="17"/>
        <item x="15"/>
        <item x="13"/>
        <item x="20"/>
        <item x="18"/>
        <item x="19"/>
        <item x="16"/>
        <item x="26"/>
        <item x="25"/>
        <item x="22"/>
        <item x="21"/>
        <item x="23"/>
        <item x="29"/>
        <item x="24"/>
        <item x="30"/>
        <item x="31"/>
        <item x="36"/>
        <item x="102"/>
        <item x="37"/>
        <item x="38"/>
        <item x="34"/>
        <item x="43"/>
        <item x="42"/>
        <item x="41"/>
        <item x="40"/>
        <item x="39"/>
        <item x="35"/>
        <item x="47"/>
        <item x="49"/>
        <item x="48"/>
        <item x="54"/>
        <item x="110"/>
        <item x="28"/>
        <item x="27"/>
        <item x="33"/>
        <item x="32"/>
        <item x="45"/>
        <item x="44"/>
        <item x="46"/>
        <item x="50"/>
        <item x="52"/>
        <item x="51"/>
        <item x="53"/>
        <item x="55"/>
        <item x="56"/>
        <item x="57"/>
        <item x="58"/>
        <item x="59"/>
        <item x="60"/>
        <item x="61"/>
        <item x="63"/>
        <item x="62"/>
        <item x="64"/>
        <item x="68"/>
        <item x="77"/>
        <item x="75"/>
        <item x="71"/>
        <item x="65"/>
        <item x="66"/>
        <item x="78"/>
        <item x="69"/>
        <item x="70"/>
        <item x="67"/>
        <item x="73"/>
        <item x="76"/>
        <item x="72"/>
        <item x="74"/>
        <item x="79"/>
        <item x="80"/>
        <item x="81"/>
        <item x="82"/>
        <item x="83"/>
        <item x="84"/>
        <item x="85"/>
        <item x="86"/>
        <item x="87"/>
        <item x="88"/>
        <item x="93"/>
        <item x="94"/>
        <item x="99"/>
        <item x="98"/>
        <item x="92"/>
        <item x="101"/>
        <item x="95"/>
        <item x="91"/>
        <item x="100"/>
        <item x="90"/>
        <item x="89"/>
        <item x="96"/>
        <item x="97"/>
        <item x="103"/>
        <item x="104"/>
        <item x="105"/>
        <item x="106"/>
        <item x="107"/>
        <item x="108"/>
        <item x="109"/>
        <item x="111"/>
        <item x="112"/>
        <item x="1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0"/>
        <item x="4"/>
        <item x="7"/>
        <item x="6"/>
        <item x="3"/>
        <item x="0"/>
        <item x="5"/>
        <item x="9"/>
        <item x="2"/>
        <item x="8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17">
    <i>
      <x/>
    </i>
    <i r="1">
      <x/>
    </i>
    <i r="2">
      <x v="12"/>
    </i>
    <i r="2">
      <x v="21"/>
    </i>
    <i r="2">
      <x v="35"/>
    </i>
    <i r="2">
      <x v="56"/>
    </i>
    <i r="2">
      <x v="76"/>
    </i>
    <i r="2">
      <x v="82"/>
    </i>
    <i r="1">
      <x v="22"/>
    </i>
    <i r="2">
      <x v="88"/>
    </i>
    <i r="2">
      <x v="89"/>
    </i>
    <i r="1">
      <x v="24"/>
    </i>
    <i r="2">
      <x v="105"/>
    </i>
    <i r="2">
      <x v="106"/>
    </i>
    <i>
      <x v="1"/>
    </i>
    <i r="1">
      <x/>
    </i>
    <i r="2">
      <x v="26"/>
    </i>
    <i r="2">
      <x v="67"/>
    </i>
    <i r="2">
      <x v="45"/>
    </i>
    <i r="2">
      <x v="113"/>
    </i>
    <i r="1">
      <x v="9"/>
    </i>
    <i r="2">
      <x v="36"/>
    </i>
    <i r="2">
      <x v="37"/>
    </i>
    <i r="1">
      <x v="10"/>
    </i>
    <i r="2">
      <x v="42"/>
    </i>
    <i r="2">
      <x v="41"/>
    </i>
    <i r="2">
      <x v="43"/>
    </i>
    <i>
      <x v="2"/>
    </i>
    <i r="1">
      <x v="18"/>
    </i>
    <i r="2">
      <x v="64"/>
    </i>
    <i r="2">
      <x v="65"/>
    </i>
    <i>
      <x v="3"/>
    </i>
    <i r="1">
      <x/>
    </i>
    <i r="2">
      <x v="15"/>
    </i>
    <i r="2">
      <x v="72"/>
    </i>
    <i r="2">
      <x v="81"/>
    </i>
    <i r="2">
      <x v="87"/>
    </i>
    <i r="2">
      <x v="90"/>
    </i>
    <i r="2">
      <x v="31"/>
    </i>
    <i r="2">
      <x v="107"/>
    </i>
    <i r="2">
      <x v="109"/>
    </i>
    <i r="1">
      <x v="14"/>
    </i>
    <i r="2">
      <x v="54"/>
    </i>
    <i r="2">
      <x v="55"/>
    </i>
    <i>
      <x v="4"/>
    </i>
    <i r="1">
      <x/>
    </i>
    <i r="2">
      <x v="17"/>
    </i>
    <i r="2">
      <x v="79"/>
    </i>
    <i r="2">
      <x v="86"/>
    </i>
    <i>
      <x v="5"/>
    </i>
    <i r="1">
      <x/>
    </i>
    <i r="2">
      <x v="66"/>
    </i>
    <i r="2">
      <x v="84"/>
    </i>
    <i r="1">
      <x v="16"/>
    </i>
    <i r="2">
      <x v="60"/>
    </i>
    <i r="2">
      <x v="61"/>
    </i>
    <i r="1">
      <x v="17"/>
    </i>
    <i r="2">
      <x v="62"/>
    </i>
    <i r="2">
      <x v="63"/>
    </i>
    <i r="1">
      <x v="19"/>
    </i>
    <i r="2">
      <x v="73"/>
    </i>
    <i r="2">
      <x v="68"/>
    </i>
    <i r="2">
      <x v="80"/>
    </i>
    <i r="1">
      <x v="23"/>
    </i>
    <i r="2">
      <x v="97"/>
    </i>
    <i r="2">
      <x v="91"/>
    </i>
    <i r="2">
      <x v="98"/>
    </i>
    <i r="2">
      <x v="93"/>
    </i>
    <i r="2">
      <x v="99"/>
    </i>
    <i r="2">
      <x v="95"/>
    </i>
    <i r="2">
      <x v="100"/>
    </i>
    <i r="2">
      <x v="92"/>
    </i>
    <i r="2">
      <x v="101"/>
    </i>
    <i r="2">
      <x v="96"/>
    </i>
    <i r="2">
      <x v="102"/>
    </i>
    <i r="2">
      <x v="94"/>
    </i>
    <i r="2">
      <x v="103"/>
    </i>
    <i>
      <x v="6"/>
    </i>
    <i r="1">
      <x v="15"/>
    </i>
    <i r="2">
      <x v="58"/>
    </i>
    <i r="2">
      <x v="59"/>
    </i>
    <i r="1">
      <x v="20"/>
    </i>
    <i r="2">
      <x v="69"/>
    </i>
    <i r="2">
      <x v="77"/>
    </i>
    <i>
      <x v="7"/>
    </i>
    <i r="1">
      <x/>
    </i>
    <i r="2">
      <x v="25"/>
    </i>
    <i r="2">
      <x v="34"/>
    </i>
    <i r="2">
      <x v="52"/>
    </i>
    <i r="2">
      <x v="57"/>
    </i>
    <i r="2">
      <x v="71"/>
    </i>
    <i r="2">
      <x v="83"/>
    </i>
    <i>
      <x v="8"/>
    </i>
    <i r="1">
      <x/>
    </i>
    <i r="2">
      <x v="78"/>
    </i>
    <i r="2">
      <x v="85"/>
    </i>
    <i r="2">
      <x v="104"/>
    </i>
    <i r="2">
      <x v="108"/>
    </i>
    <i r="1">
      <x v="5"/>
    </i>
    <i r="2">
      <x v="18"/>
    </i>
    <i r="2">
      <x v="19"/>
    </i>
    <i r="1">
      <x v="8"/>
    </i>
    <i r="2">
      <x v="32"/>
    </i>
    <i r="2">
      <x v="33"/>
    </i>
    <i>
      <x v="9"/>
    </i>
    <i r="1">
      <x/>
    </i>
    <i r="2">
      <x v="39"/>
    </i>
    <i r="2">
      <x v="53"/>
    </i>
    <i r="2">
      <x v="70"/>
    </i>
    <i r="2">
      <x v="110"/>
    </i>
    <i r="2">
      <x v="111"/>
    </i>
    <i r="2">
      <x v="112"/>
    </i>
    <i>
      <x v="10"/>
    </i>
    <i r="1">
      <x v="21"/>
    </i>
    <i r="2">
      <x v="74"/>
    </i>
    <i r="2">
      <x v="75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20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173612</v>
      </c>
      <c r="B6" s="5">
        <v>46129.696527777778</v>
      </c>
    </row>
    <row r="7" spans="1:2" x14ac:dyDescent="0.25">
      <c r="A7" s="4">
        <v>173614</v>
      </c>
      <c r="B7" s="5">
        <v>46129.818749999999</v>
      </c>
    </row>
    <row r="8" spans="1:2" x14ac:dyDescent="0.25">
      <c r="A8" s="4">
        <v>173616</v>
      </c>
      <c r="B8" s="5">
        <v>46129.98333333333</v>
      </c>
    </row>
    <row r="9" spans="1:2" x14ac:dyDescent="0.25">
      <c r="A9" s="4">
        <v>173610</v>
      </c>
      <c r="B9" s="5">
        <v>46130.109027777777</v>
      </c>
    </row>
    <row r="10" spans="1:2" x14ac:dyDescent="0.25">
      <c r="A10" s="4">
        <v>173611</v>
      </c>
      <c r="B10" s="5">
        <v>46131.9375</v>
      </c>
    </row>
    <row r="11" spans="1:2" x14ac:dyDescent="0.25">
      <c r="A11" s="4">
        <v>173491</v>
      </c>
      <c r="B11" s="5">
        <v>46132.063194444447</v>
      </c>
    </row>
    <row r="12" spans="1:2" x14ac:dyDescent="0.25">
      <c r="A12" s="3">
        <v>185850</v>
      </c>
      <c r="B12" s="5"/>
    </row>
    <row r="13" spans="1:2" x14ac:dyDescent="0.25">
      <c r="A13" s="4">
        <v>173526</v>
      </c>
      <c r="B13" s="5">
        <v>46132.227777777778</v>
      </c>
    </row>
    <row r="14" spans="1:2" x14ac:dyDescent="0.25">
      <c r="A14" s="4">
        <v>173514</v>
      </c>
      <c r="B14" s="5">
        <v>46132.227777777778</v>
      </c>
    </row>
    <row r="15" spans="1:2" x14ac:dyDescent="0.25">
      <c r="A15" s="3">
        <v>185858</v>
      </c>
      <c r="B15" s="5"/>
    </row>
    <row r="16" spans="1:2" x14ac:dyDescent="0.25">
      <c r="A16" s="4">
        <v>173535</v>
      </c>
      <c r="B16" s="5">
        <v>46132.35</v>
      </c>
    </row>
    <row r="17" spans="1:2" x14ac:dyDescent="0.25">
      <c r="A17" s="4">
        <v>173540</v>
      </c>
      <c r="B17" s="5">
        <v>46132.35</v>
      </c>
    </row>
    <row r="18" spans="1:2" x14ac:dyDescent="0.25">
      <c r="A18" s="2" t="s">
        <v>6</v>
      </c>
      <c r="B18" s="5"/>
    </row>
    <row r="19" spans="1:2" x14ac:dyDescent="0.25">
      <c r="A19" s="3">
        <v>0</v>
      </c>
      <c r="B19" s="5"/>
    </row>
    <row r="20" spans="1:2" x14ac:dyDescent="0.25">
      <c r="A20" s="4">
        <v>172701</v>
      </c>
      <c r="B20" s="5">
        <v>46129.849305555559</v>
      </c>
    </row>
    <row r="21" spans="1:2" x14ac:dyDescent="0.25">
      <c r="A21" s="4">
        <v>173625</v>
      </c>
      <c r="B21" s="5">
        <v>46131.9375</v>
      </c>
    </row>
    <row r="22" spans="1:2" x14ac:dyDescent="0.25">
      <c r="A22" s="4">
        <v>172704</v>
      </c>
      <c r="B22" s="5">
        <v>46133.743750000001</v>
      </c>
    </row>
    <row r="23" spans="1:2" x14ac:dyDescent="0.25">
      <c r="A23" s="4">
        <v>172637</v>
      </c>
      <c r="B23" s="5">
        <v>46134.040972222225</v>
      </c>
    </row>
    <row r="24" spans="1:2" x14ac:dyDescent="0.25">
      <c r="A24" s="3">
        <v>185806</v>
      </c>
      <c r="B24" s="5"/>
    </row>
    <row r="25" spans="1:2" x14ac:dyDescent="0.25">
      <c r="A25" s="4">
        <v>173335</v>
      </c>
      <c r="B25" s="5">
        <v>46129.975694444445</v>
      </c>
    </row>
    <row r="26" spans="1:2" x14ac:dyDescent="0.25">
      <c r="A26" s="4">
        <v>173337</v>
      </c>
      <c r="B26" s="5">
        <v>46129.975694444445</v>
      </c>
    </row>
    <row r="27" spans="1:2" x14ac:dyDescent="0.25">
      <c r="A27" s="3">
        <v>185717</v>
      </c>
      <c r="B27" s="5"/>
    </row>
    <row r="28" spans="1:2" x14ac:dyDescent="0.25">
      <c r="A28" s="4">
        <v>172938</v>
      </c>
      <c r="B28" s="5">
        <v>46130.03402777778</v>
      </c>
    </row>
    <row r="29" spans="1:2" x14ac:dyDescent="0.25">
      <c r="A29" s="4">
        <v>172559</v>
      </c>
      <c r="B29" s="5">
        <v>46130.03402777778</v>
      </c>
    </row>
    <row r="30" spans="1:2" x14ac:dyDescent="0.25">
      <c r="A30" s="4">
        <v>172937</v>
      </c>
      <c r="B30" s="5">
        <v>46130.03402777778</v>
      </c>
    </row>
    <row r="31" spans="1:2" x14ac:dyDescent="0.25">
      <c r="A31" s="2" t="s">
        <v>10</v>
      </c>
      <c r="B31" s="5"/>
    </row>
    <row r="32" spans="1:2" x14ac:dyDescent="0.25">
      <c r="A32" s="3">
        <v>185870</v>
      </c>
      <c r="B32" s="5"/>
    </row>
    <row r="33" spans="1:2" x14ac:dyDescent="0.25">
      <c r="A33" s="4">
        <v>173652</v>
      </c>
      <c r="B33" s="5">
        <v>46130.374305555553</v>
      </c>
    </row>
    <row r="34" spans="1:2" x14ac:dyDescent="0.25">
      <c r="A34" s="4">
        <v>173645</v>
      </c>
      <c r="B34" s="5">
        <v>46130.374305555553</v>
      </c>
    </row>
    <row r="35" spans="1:2" x14ac:dyDescent="0.25">
      <c r="A35" s="2" t="s">
        <v>11</v>
      </c>
      <c r="B35" s="5"/>
    </row>
    <row r="36" spans="1:2" x14ac:dyDescent="0.25">
      <c r="A36" s="3">
        <v>0</v>
      </c>
      <c r="B36" s="5"/>
    </row>
    <row r="37" spans="1:2" x14ac:dyDescent="0.25">
      <c r="A37" s="4">
        <v>173729</v>
      </c>
      <c r="B37" s="5">
        <v>46129.705555555556</v>
      </c>
    </row>
    <row r="38" spans="1:2" x14ac:dyDescent="0.25">
      <c r="A38" s="4">
        <v>173573</v>
      </c>
      <c r="B38" s="5">
        <v>46131.9375</v>
      </c>
    </row>
    <row r="39" spans="1:2" x14ac:dyDescent="0.25">
      <c r="A39" s="4">
        <v>173571</v>
      </c>
      <c r="B39" s="5">
        <v>46132.063194444447</v>
      </c>
    </row>
    <row r="40" spans="1:2" x14ac:dyDescent="0.25">
      <c r="A40" s="4">
        <v>173582</v>
      </c>
      <c r="B40" s="5">
        <v>46132.15347222222</v>
      </c>
    </row>
    <row r="41" spans="1:2" x14ac:dyDescent="0.25">
      <c r="A41" s="4">
        <v>173627</v>
      </c>
      <c r="B41" s="5">
        <v>46132.243750000001</v>
      </c>
    </row>
    <row r="42" spans="1:2" x14ac:dyDescent="0.25">
      <c r="A42" s="4">
        <v>173584</v>
      </c>
      <c r="B42" s="5">
        <v>46132.304166666669</v>
      </c>
    </row>
    <row r="43" spans="1:2" x14ac:dyDescent="0.25">
      <c r="A43" s="4">
        <v>173581</v>
      </c>
      <c r="B43" s="5">
        <v>46132.368750000001</v>
      </c>
    </row>
    <row r="44" spans="1:2" x14ac:dyDescent="0.25">
      <c r="A44" s="4">
        <v>173908</v>
      </c>
      <c r="B44" s="5">
        <v>46133.484722222223</v>
      </c>
    </row>
    <row r="45" spans="1:2" x14ac:dyDescent="0.25">
      <c r="A45" s="3">
        <v>185872</v>
      </c>
      <c r="B45" s="5"/>
    </row>
    <row r="46" spans="1:2" x14ac:dyDescent="0.25">
      <c r="A46" s="4">
        <v>173651</v>
      </c>
      <c r="B46" s="5">
        <v>46130.054861111108</v>
      </c>
    </row>
    <row r="47" spans="1:2" x14ac:dyDescent="0.25">
      <c r="A47" s="4">
        <v>173644</v>
      </c>
      <c r="B47" s="5">
        <v>46130.054861111108</v>
      </c>
    </row>
    <row r="48" spans="1:2" x14ac:dyDescent="0.25">
      <c r="A48" s="2" t="s">
        <v>7</v>
      </c>
      <c r="B48" s="5"/>
    </row>
    <row r="49" spans="1:2" x14ac:dyDescent="0.25">
      <c r="A49" s="3">
        <v>0</v>
      </c>
      <c r="B49" s="5"/>
    </row>
    <row r="50" spans="1:2" x14ac:dyDescent="0.25">
      <c r="A50" s="4">
        <v>173939</v>
      </c>
      <c r="B50" s="5">
        <v>46129.736805555556</v>
      </c>
    </row>
    <row r="51" spans="1:2" x14ac:dyDescent="0.25">
      <c r="A51" s="4">
        <v>173630</v>
      </c>
      <c r="B51" s="5">
        <v>46131.9375</v>
      </c>
    </row>
    <row r="52" spans="1:2" x14ac:dyDescent="0.25">
      <c r="A52" s="4">
        <v>173624</v>
      </c>
      <c r="B52" s="5">
        <v>46132.145833333336</v>
      </c>
    </row>
    <row r="53" spans="1:2" x14ac:dyDescent="0.25">
      <c r="A53" s="2" t="s">
        <v>12</v>
      </c>
      <c r="B53" s="5"/>
    </row>
    <row r="54" spans="1:2" x14ac:dyDescent="0.25">
      <c r="A54" s="3">
        <v>0</v>
      </c>
      <c r="B54" s="5"/>
    </row>
    <row r="55" spans="1:2" x14ac:dyDescent="0.25">
      <c r="A55" s="4">
        <v>173641</v>
      </c>
      <c r="B55" s="5">
        <v>46130.623611111114</v>
      </c>
    </row>
    <row r="56" spans="1:2" x14ac:dyDescent="0.25">
      <c r="A56" s="4">
        <v>174354</v>
      </c>
      <c r="B56" s="5">
        <v>46132.102777777778</v>
      </c>
    </row>
    <row r="57" spans="1:2" x14ac:dyDescent="0.25">
      <c r="A57" s="3">
        <v>185866</v>
      </c>
      <c r="B57" s="5"/>
    </row>
    <row r="58" spans="1:2" x14ac:dyDescent="0.25">
      <c r="A58" s="4">
        <v>173642</v>
      </c>
      <c r="B58" s="5">
        <v>46130.206944444442</v>
      </c>
    </row>
    <row r="59" spans="1:2" x14ac:dyDescent="0.25">
      <c r="A59" s="4">
        <v>173643</v>
      </c>
      <c r="B59" s="5">
        <v>46130.206944444442</v>
      </c>
    </row>
    <row r="60" spans="1:2" x14ac:dyDescent="0.25">
      <c r="A60" s="3">
        <v>185868</v>
      </c>
      <c r="B60" s="5"/>
    </row>
    <row r="61" spans="1:2" x14ac:dyDescent="0.25">
      <c r="A61" s="4">
        <v>173654</v>
      </c>
      <c r="B61" s="5">
        <v>46130.37222222222</v>
      </c>
    </row>
    <row r="62" spans="1:2" x14ac:dyDescent="0.25">
      <c r="A62" s="4">
        <v>173648</v>
      </c>
      <c r="B62" s="5">
        <v>46130.37222222222</v>
      </c>
    </row>
    <row r="63" spans="1:2" x14ac:dyDescent="0.25">
      <c r="A63" s="3">
        <v>185869</v>
      </c>
      <c r="B63" s="5"/>
    </row>
    <row r="64" spans="1:2" x14ac:dyDescent="0.25">
      <c r="A64" s="4">
        <v>173647</v>
      </c>
      <c r="B64" s="5">
        <v>46131.9375</v>
      </c>
    </row>
    <row r="65" spans="1:2" x14ac:dyDescent="0.25">
      <c r="A65" s="4">
        <v>173646</v>
      </c>
      <c r="B65" s="5">
        <v>46131.9375</v>
      </c>
    </row>
    <row r="66" spans="1:2" x14ac:dyDescent="0.25">
      <c r="A66" s="4">
        <v>173653</v>
      </c>
      <c r="B66" s="5">
        <v>46131.9375</v>
      </c>
    </row>
    <row r="67" spans="1:2" x14ac:dyDescent="0.25">
      <c r="A67" s="3">
        <v>185897</v>
      </c>
      <c r="B67" s="5"/>
    </row>
    <row r="68" spans="1:2" x14ac:dyDescent="0.25">
      <c r="A68" s="4">
        <v>173789</v>
      </c>
      <c r="B68" s="5">
        <v>46132.256249999999</v>
      </c>
    </row>
    <row r="69" spans="1:2" x14ac:dyDescent="0.25">
      <c r="A69" s="4">
        <v>173983</v>
      </c>
      <c r="B69" s="5">
        <v>46132.256249999999</v>
      </c>
    </row>
    <row r="70" spans="1:2" x14ac:dyDescent="0.25">
      <c r="A70" s="4">
        <v>174063</v>
      </c>
      <c r="B70" s="5">
        <v>46132.256249999999</v>
      </c>
    </row>
    <row r="71" spans="1:2" x14ac:dyDescent="0.25">
      <c r="A71" s="4">
        <v>174023</v>
      </c>
      <c r="B71" s="5">
        <v>46132.256249999999</v>
      </c>
    </row>
    <row r="72" spans="1:2" x14ac:dyDescent="0.25">
      <c r="A72" s="4">
        <v>173800</v>
      </c>
      <c r="B72" s="5">
        <v>46132.256249999999</v>
      </c>
    </row>
    <row r="73" spans="1:2" x14ac:dyDescent="0.25">
      <c r="A73" s="4">
        <v>174348</v>
      </c>
      <c r="B73" s="5">
        <v>46132.256249999999</v>
      </c>
    </row>
    <row r="74" spans="1:2" x14ac:dyDescent="0.25">
      <c r="A74" s="4">
        <v>174343</v>
      </c>
      <c r="B74" s="5">
        <v>46132.256249999999</v>
      </c>
    </row>
    <row r="75" spans="1:2" x14ac:dyDescent="0.25">
      <c r="A75" s="4">
        <v>174061</v>
      </c>
      <c r="B75" s="5">
        <v>46132.256249999999</v>
      </c>
    </row>
    <row r="76" spans="1:2" x14ac:dyDescent="0.25">
      <c r="A76" s="4">
        <v>174349</v>
      </c>
      <c r="B76" s="5">
        <v>46132.256249999999</v>
      </c>
    </row>
    <row r="77" spans="1:2" x14ac:dyDescent="0.25">
      <c r="A77" s="4">
        <v>173687</v>
      </c>
      <c r="B77" s="5">
        <v>46132.256249999999</v>
      </c>
    </row>
    <row r="78" spans="1:2" x14ac:dyDescent="0.25">
      <c r="A78" s="4">
        <v>174346</v>
      </c>
      <c r="B78" s="5">
        <v>46132.256249999999</v>
      </c>
    </row>
    <row r="79" spans="1:2" x14ac:dyDescent="0.25">
      <c r="A79" s="4">
        <v>174347</v>
      </c>
      <c r="B79" s="5">
        <v>46132.256249999999</v>
      </c>
    </row>
    <row r="80" spans="1:2" x14ac:dyDescent="0.25">
      <c r="A80" s="4">
        <v>173689</v>
      </c>
      <c r="B80" s="5">
        <v>46132.256249999999</v>
      </c>
    </row>
    <row r="81" spans="1:2" x14ac:dyDescent="0.25">
      <c r="A81" s="2" t="s">
        <v>13</v>
      </c>
      <c r="B81" s="5"/>
    </row>
    <row r="82" spans="1:2" x14ac:dyDescent="0.25">
      <c r="A82" s="3">
        <v>185871</v>
      </c>
      <c r="B82" s="5"/>
    </row>
    <row r="83" spans="1:2" x14ac:dyDescent="0.25">
      <c r="A83" s="4">
        <v>173655</v>
      </c>
      <c r="B83" s="5">
        <v>46130.161111111112</v>
      </c>
    </row>
    <row r="84" spans="1:2" x14ac:dyDescent="0.25">
      <c r="A84" s="4">
        <v>173649</v>
      </c>
      <c r="B84" s="5">
        <v>46130.161111111112</v>
      </c>
    </row>
    <row r="85" spans="1:2" x14ac:dyDescent="0.25">
      <c r="A85" s="3">
        <v>185867</v>
      </c>
      <c r="B85" s="5"/>
    </row>
    <row r="86" spans="1:2" x14ac:dyDescent="0.25">
      <c r="A86" s="4">
        <v>173650</v>
      </c>
      <c r="B86" s="5">
        <v>46131.9375</v>
      </c>
    </row>
    <row r="87" spans="1:2" x14ac:dyDescent="0.25">
      <c r="A87" s="4">
        <v>173656</v>
      </c>
      <c r="B87" s="5">
        <v>46131.9375</v>
      </c>
    </row>
    <row r="88" spans="1:2" x14ac:dyDescent="0.25">
      <c r="A88" s="2" t="s">
        <v>15</v>
      </c>
      <c r="B88" s="5"/>
    </row>
    <row r="89" spans="1:2" x14ac:dyDescent="0.25">
      <c r="A89" s="3">
        <v>0</v>
      </c>
      <c r="B89" s="5"/>
    </row>
    <row r="90" spans="1:2" x14ac:dyDescent="0.25">
      <c r="A90" s="4">
        <v>173601</v>
      </c>
      <c r="B90" s="5">
        <v>46129.777777777781</v>
      </c>
    </row>
    <row r="91" spans="1:2" x14ac:dyDescent="0.25">
      <c r="A91" s="4">
        <v>173609</v>
      </c>
      <c r="B91" s="5">
        <v>46129.90347222222</v>
      </c>
    </row>
    <row r="92" spans="1:2" x14ac:dyDescent="0.25">
      <c r="A92" s="4">
        <v>173580</v>
      </c>
      <c r="B92" s="5">
        <v>46130.029166666667</v>
      </c>
    </row>
    <row r="93" spans="1:2" x14ac:dyDescent="0.25">
      <c r="A93" s="4">
        <v>172750</v>
      </c>
      <c r="B93" s="5">
        <v>46130.151388888888</v>
      </c>
    </row>
    <row r="94" spans="1:2" x14ac:dyDescent="0.25">
      <c r="A94" s="4">
        <v>172787</v>
      </c>
      <c r="B94" s="5">
        <v>46131.9375</v>
      </c>
    </row>
    <row r="95" spans="1:2" x14ac:dyDescent="0.25">
      <c r="A95" s="4">
        <v>172786</v>
      </c>
      <c r="B95" s="5">
        <v>46132.063194444447</v>
      </c>
    </row>
    <row r="96" spans="1:2" x14ac:dyDescent="0.25">
      <c r="A96" s="2" t="s">
        <v>8</v>
      </c>
      <c r="B96" s="5"/>
    </row>
    <row r="97" spans="1:2" x14ac:dyDescent="0.25">
      <c r="A97" s="3">
        <v>0</v>
      </c>
      <c r="B97" s="5"/>
    </row>
    <row r="98" spans="1:2" x14ac:dyDescent="0.25">
      <c r="A98" s="4">
        <v>173409</v>
      </c>
      <c r="B98" s="5">
        <v>46131.9375</v>
      </c>
    </row>
    <row r="99" spans="1:2" x14ac:dyDescent="0.25">
      <c r="A99" s="4">
        <v>173410</v>
      </c>
      <c r="B99" s="5">
        <v>46132.136111111111</v>
      </c>
    </row>
    <row r="100" spans="1:2" x14ac:dyDescent="0.25">
      <c r="A100" s="4">
        <v>173411</v>
      </c>
      <c r="B100" s="5">
        <v>46132.334722222222</v>
      </c>
    </row>
    <row r="101" spans="1:2" x14ac:dyDescent="0.25">
      <c r="A101" s="4">
        <v>173412</v>
      </c>
      <c r="B101" s="5">
        <v>46132.533333333333</v>
      </c>
    </row>
    <row r="102" spans="1:2" x14ac:dyDescent="0.25">
      <c r="A102" s="3">
        <v>185903</v>
      </c>
      <c r="B102" s="5"/>
    </row>
    <row r="103" spans="1:2" x14ac:dyDescent="0.25">
      <c r="A103" s="4">
        <v>173553</v>
      </c>
      <c r="B103" s="5">
        <v>46129.736111111109</v>
      </c>
    </row>
    <row r="104" spans="1:2" x14ac:dyDescent="0.25">
      <c r="A104" s="4">
        <v>173554</v>
      </c>
      <c r="B104" s="5">
        <v>46129.736111111109</v>
      </c>
    </row>
    <row r="105" spans="1:2" x14ac:dyDescent="0.25">
      <c r="A105" s="3">
        <v>185902</v>
      </c>
      <c r="B105" s="5"/>
    </row>
    <row r="106" spans="1:2" x14ac:dyDescent="0.25">
      <c r="A106" s="4">
        <v>173555</v>
      </c>
      <c r="B106" s="5">
        <v>46129.93472222222</v>
      </c>
    </row>
    <row r="107" spans="1:2" x14ac:dyDescent="0.25">
      <c r="A107" s="4">
        <v>173556</v>
      </c>
      <c r="B107" s="5">
        <v>46129.93472222222</v>
      </c>
    </row>
    <row r="108" spans="1:2" x14ac:dyDescent="0.25">
      <c r="A108" s="2" t="s">
        <v>9</v>
      </c>
      <c r="B108" s="5"/>
    </row>
    <row r="109" spans="1:2" x14ac:dyDescent="0.25">
      <c r="A109" s="3">
        <v>0</v>
      </c>
      <c r="B109" s="5"/>
    </row>
    <row r="110" spans="1:2" x14ac:dyDescent="0.25">
      <c r="A110" s="4">
        <v>172696</v>
      </c>
      <c r="B110" s="5">
        <v>46129.935416666667</v>
      </c>
    </row>
    <row r="111" spans="1:2" x14ac:dyDescent="0.25">
      <c r="A111" s="4">
        <v>173603</v>
      </c>
      <c r="B111" s="5">
        <v>46130.035416666666</v>
      </c>
    </row>
    <row r="112" spans="1:2" x14ac:dyDescent="0.25">
      <c r="A112" s="4">
        <v>172832</v>
      </c>
      <c r="B112" s="5">
        <v>46131.9375</v>
      </c>
    </row>
    <row r="113" spans="1:2" x14ac:dyDescent="0.25">
      <c r="A113" s="4">
        <v>172717</v>
      </c>
      <c r="B113" s="5">
        <v>46133.706250000003</v>
      </c>
    </row>
    <row r="114" spans="1:2" x14ac:dyDescent="0.25">
      <c r="A114" s="4">
        <v>172784</v>
      </c>
      <c r="B114" s="5">
        <v>46133.776388888888</v>
      </c>
    </row>
    <row r="115" spans="1:2" x14ac:dyDescent="0.25">
      <c r="A115" s="4">
        <v>172716</v>
      </c>
      <c r="B115" s="5">
        <v>46133.925694444442</v>
      </c>
    </row>
    <row r="116" spans="1:2" x14ac:dyDescent="0.25">
      <c r="A116" s="2" t="s">
        <v>14</v>
      </c>
      <c r="B116" s="5"/>
    </row>
    <row r="117" spans="1:2" x14ac:dyDescent="0.25">
      <c r="A117" s="3">
        <v>185935</v>
      </c>
      <c r="B117" s="5"/>
    </row>
    <row r="118" spans="1:2" x14ac:dyDescent="0.25">
      <c r="A118" s="4">
        <v>172734</v>
      </c>
      <c r="B118" s="5">
        <v>46131.9375</v>
      </c>
    </row>
    <row r="119" spans="1:2" x14ac:dyDescent="0.25">
      <c r="A119" s="4">
        <v>172733</v>
      </c>
      <c r="B119" s="5">
        <v>46131.9375</v>
      </c>
    </row>
    <row r="120" spans="1:2" x14ac:dyDescent="0.25">
      <c r="A120" s="2" t="s">
        <v>1</v>
      </c>
      <c r="B120" s="5">
        <v>46129.696527777778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2026-04-17T19:45:09Z</dcterms:modified>
</cp:coreProperties>
</file>