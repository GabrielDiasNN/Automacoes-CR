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5BB22F45-980A-4027-9D0B-9EC3D55B5A5D}" xr6:coauthVersionLast="47" xr6:coauthVersionMax="47" xr10:uidLastSave="{00000000-0000-0000-0000-000000000000}"/>
  <bookViews>
    <workbookView xWindow="-120" yWindow="-120" windowWidth="386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<sst xmlns="http://schemas.openxmlformats.org/spreadsheetml/2006/main" count="19" uniqueCount="19">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</sst>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9.400200462966" missingItemsLimit="0" createdVersion="7" refreshedVersion="7" minRefreshableVersion="3" recordCount="108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804" count="28">
        <n v="0"/>
        <n v="185649"/>
        <n v="185669"/>
        <n v="185733"/>
        <n v="185727"/>
        <n v="185725"/>
        <n v="185650"/>
        <n v="185667"/>
        <n v="185673"/>
        <n v="185691"/>
        <n v="185666"/>
        <n v="185664"/>
        <n v="185730"/>
        <n v="185670"/>
        <n v="185663"/>
        <n v="185660"/>
        <n v="185741"/>
        <n v="185608"/>
        <n v="185658"/>
        <n v="185789"/>
        <n v="185734"/>
        <n v="185690"/>
        <n v="185786"/>
        <n v="185787"/>
        <n v="185668"/>
        <n v="185801"/>
        <n v="185804"/>
        <n v="185803"/>
      </sharedItems>
    </cacheField>
    <cacheField name="NUMERO_OB" numFmtId="0">
      <sharedItems containsSemiMixedTypes="0" containsString="0" containsNumber="1" containsInteger="1" minValue="171741" maxValue="172936" count="108">
        <n v="172213"/>
        <n v="172234"/>
        <n v="172241"/>
        <n v="172347"/>
        <n v="172339"/>
        <n v="172317"/>
        <n v="172326"/>
        <n v="172593"/>
        <n v="172594"/>
        <n v="172898"/>
        <n v="172896"/>
        <n v="172590"/>
        <n v="172589"/>
        <n v="172893"/>
        <n v="172892"/>
        <n v="172240"/>
        <n v="172233"/>
        <n v="172209"/>
        <n v="172349"/>
        <n v="172341"/>
        <n v="172219"/>
        <n v="172343"/>
        <n v="172335"/>
        <n v="172425"/>
        <n v="172426"/>
        <n v="172897"/>
        <n v="172755"/>
        <n v="172226"/>
        <n v="172302"/>
        <n v="172307"/>
        <n v="172301"/>
        <n v="172306"/>
        <n v="172556"/>
        <n v="172304"/>
        <n v="172299"/>
        <n v="172220"/>
        <n v="172323"/>
        <n v="172012"/>
        <n v="172011"/>
        <n v="172227"/>
        <n v="172346"/>
        <n v="172338"/>
        <n v="172217"/>
        <n v="172228"/>
        <n v="171741"/>
        <n v="172300"/>
        <n v="172305"/>
        <n v="172754"/>
        <n v="172274"/>
        <n v="172292"/>
        <n v="172291"/>
        <n v="172296"/>
        <n v="172295"/>
        <n v="172322"/>
        <n v="172526"/>
        <n v="172222"/>
        <n v="172284"/>
        <n v="172283"/>
        <n v="172320"/>
        <n v="172281"/>
        <n v="172215"/>
        <n v="171819"/>
        <n v="171818"/>
        <n v="172290"/>
        <n v="172294"/>
        <n v="171793"/>
        <n v="171794"/>
        <n v="172285"/>
        <n v="172286"/>
        <n v="172312"/>
        <n v="172327"/>
        <n v="172424"/>
        <n v="172325"/>
        <n v="172423"/>
        <n v="172569"/>
        <n v="172523"/>
        <n v="172848"/>
        <n v="172570"/>
        <n v="171795"/>
        <n v="171796"/>
        <n v="172313"/>
        <n v="172936"/>
        <n v="172571"/>
        <n v="171903"/>
        <n v="171902"/>
        <n v="172318"/>
        <n v="172315"/>
        <n v="172348"/>
        <n v="172340"/>
        <n v="172888"/>
        <n v="172319"/>
        <n v="171901"/>
        <n v="171900"/>
        <n v="171983"/>
        <n v="172324"/>
        <n v="172316"/>
        <n v="171984"/>
        <n v="171895"/>
        <n v="171894"/>
        <n v="172321"/>
        <n v="172753"/>
        <n v="172572"/>
        <n v="172558"/>
        <n v="172013"/>
        <n v="171897"/>
        <n v="171896"/>
        <n v="172751"/>
        <n v="172023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0"/>
        <s v="MQ01"/>
        <s v="MQ04"/>
        <s v="MQ03"/>
        <s v="MQ06"/>
        <s v="MQ11"/>
        <s v="MQ07"/>
        <s v="MQ05"/>
        <s v="MQ09"/>
        <s v="MQ08"/>
        <s v="MQ02"/>
      </sharedItems>
    </cacheField>
    <cacheField name="INICIO_TING" numFmtId="0">
      <sharedItems containsSemiMixedTypes="0" containsNonDate="0" containsDate="1" containsString="0" minDate="2026-04-07T02:00:00" maxDate="2026-04-09T03:27:00"/>
    </cacheField>
    <cacheField name="FINAL_TING" numFmtId="0">
      <sharedItems containsSemiMixedTypes="0" containsNonDate="0" containsDate="1" containsString="0" minDate="2026-04-07T07:50:00" maxDate="2026-04-09T05:34:00"/>
    </cacheField>
    <cacheField name="ARTIGO" numFmtId="0">
      <sharedItems count="17">
        <s v="00024     "/>
        <s v="00032     "/>
        <s v="00010     "/>
        <s v="00015     "/>
        <s v="00018     "/>
        <s v="00189     "/>
        <s v="00014     "/>
        <s v="00052     "/>
        <s v="00012     "/>
        <s v="00056     "/>
        <s v="00042     "/>
        <s v="00178     "/>
        <s v="00030     "/>
        <s v="00184     "/>
        <s v="00016     "/>
        <s v="00456     "/>
        <s v="00142     "/>
      </sharedItems>
    </cacheField>
    <cacheField name="REDUZIDO" numFmtId="0">
      <sharedItems containsSemiMixedTypes="0" containsString="0" containsNumber="1" containsInteger="1" minValue="258" maxValue="24527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ROGRAMADA"/>
        <s v="PESADA"/>
        <s v="EMITIDA"/>
      </sharedItems>
    </cacheField>
    <cacheField name="USUARIO" numFmtId="0">
      <sharedItems containsBlank="1" count="6">
        <s v="GLEVID AVISAI  CEDEÑO  MOLINA"/>
        <s v="PETERSON ALEXANDRE FELIZARDO"/>
        <s v="RAFAEL ALEXANDRE DA ROSA"/>
        <s v="KLAYTON MAGALHAES DOS SANTOS"/>
        <m/>
        <s v="JANILSON F. PACHECO"/>
      </sharedItems>
    </cacheField>
    <cacheField name="HORARIO_PESADO" numFmtId="0">
      <sharedItems containsNonDate="0" containsDate="1" containsString="0" containsBlank="1" minDate="2026-04-01T19:30:31" maxDate="2026-04-07T09:01:10" count="21">
        <d v="2026-04-06T15:53:18"/>
        <d v="2026-04-07T02:50:31"/>
        <d v="2026-04-06T15:09:56"/>
        <d v="2026-04-06T22:55:42"/>
        <d v="2026-04-06T23:56:44"/>
        <d v="2026-04-07T00:13:38"/>
        <d v="2026-04-06T23:26:06"/>
        <d v="2026-04-06T23:07:29"/>
        <d v="2026-04-07T03:22:25"/>
        <d v="2026-04-07T03:17:56"/>
        <d v="2026-04-07T03:08:01"/>
        <d v="2026-04-07T06:57:08"/>
        <d v="2026-04-06T23:00:25"/>
        <d v="2026-04-06T22:42:44"/>
        <d v="2026-04-06T22:37:51"/>
        <m/>
        <d v="2026-04-07T07:26:18"/>
        <d v="2026-04-07T09:01:10"/>
        <d v="2026-04-07T08:34:07"/>
        <d v="2026-04-01T19:30:31"/>
        <d v="2026-04-02T01:30:39"/>
      </sharedItems>
    </cacheField>
    <cacheField name="DIAS_PESADO" numFmtId="0">
      <sharedItems containsString="0" containsBlank="1" containsNumber="1" minValue="0.02" maxValue="5.59" count="18">
        <n v="0.74"/>
        <n v="0.28000000000000003"/>
        <n v="0.77"/>
        <n v="0.44"/>
        <n v="0.4"/>
        <n v="0.39"/>
        <n v="0.42"/>
        <n v="0.26"/>
        <n v="0.27"/>
        <n v="0.11"/>
        <n v="0.45"/>
        <n v="0.46"/>
        <m/>
        <n v="0.09"/>
        <n v="0.02"/>
        <n v="0.04"/>
        <n v="5.59"/>
        <n v="5.34"/>
      </sharedItems>
    </cacheField>
    <cacheField name="QUANT_PESADA" numFmtId="0">
      <sharedItems containsSemiMixedTypes="0" containsString="0" containsNumber="1" minValue="0" maxValue="287.14586000000003" count="21">
        <n v="5.1476300000000004"/>
        <n v="87.91"/>
        <n v="10.519"/>
        <n v="10.651"/>
        <n v="18.097000000000001"/>
        <n v="53.415999999999997"/>
        <n v="18.23"/>
        <n v="18.253"/>
        <n v="144.73699999999999"/>
        <n v="26.254999999999999"/>
        <n v="87.102000000000004"/>
        <n v="7.3639999999999999"/>
        <n v="6.88"/>
        <n v="0.14008000000000001"/>
        <n v="1.3247100000000001"/>
        <n v="0"/>
        <n v="18.372"/>
        <n v="287.14586000000003"/>
        <n v="69.671999999999997"/>
        <n v="17.297139999999999"/>
        <n v="23.76949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d v="2026-04-07T02:00:00"/>
    <d v="2026-04-07T09:55:00"/>
    <x v="0"/>
    <n v="2647"/>
    <s v="M/M 24/1 18 TRAMAS CAQUI"/>
    <x v="0"/>
    <x v="0"/>
    <x v="0"/>
    <x v="0"/>
    <x v="0"/>
    <x v="0"/>
  </r>
  <r>
    <x v="1"/>
    <x v="1"/>
    <x v="0"/>
    <x v="1"/>
    <d v="2026-04-07T03:43:00"/>
    <d v="2026-04-07T07:50:00"/>
    <x v="1"/>
    <n v="1332"/>
    <s v="M/M 30/1 PENTEADO PRETO"/>
    <x v="0"/>
    <x v="0"/>
    <x v="1"/>
    <x v="1"/>
    <x v="1"/>
    <x v="1"/>
  </r>
  <r>
    <x v="1"/>
    <x v="2"/>
    <x v="0"/>
    <x v="1"/>
    <d v="2026-04-07T03:43:00"/>
    <d v="2026-04-07T07:50:00"/>
    <x v="2"/>
    <n v="9785"/>
    <s v="RIBANA 30/1 OE PRETO"/>
    <x v="0"/>
    <x v="0"/>
    <x v="1"/>
    <x v="1"/>
    <x v="1"/>
    <x v="1"/>
  </r>
  <r>
    <x v="2"/>
    <x v="3"/>
    <x v="0"/>
    <x v="2"/>
    <d v="2026-04-07T03:49:00"/>
    <d v="2026-04-07T09:49:00"/>
    <x v="3"/>
    <n v="23495"/>
    <s v="RIBANA 2X1 24/1 OE AMARELO CANÁRIO"/>
    <x v="0"/>
    <x v="0"/>
    <x v="0"/>
    <x v="2"/>
    <x v="2"/>
    <x v="2"/>
  </r>
  <r>
    <x v="2"/>
    <x v="4"/>
    <x v="0"/>
    <x v="2"/>
    <d v="2026-04-07T03:49:00"/>
    <d v="2026-04-07T09:49:00"/>
    <x v="1"/>
    <n v="1412"/>
    <s v="M/M 30/1 PENTEADO AMARELO CANÁRIO"/>
    <x v="0"/>
    <x v="0"/>
    <x v="0"/>
    <x v="2"/>
    <x v="2"/>
    <x v="2"/>
  </r>
  <r>
    <x v="0"/>
    <x v="5"/>
    <x v="0"/>
    <x v="3"/>
    <d v="2026-04-07T04:26:00"/>
    <d v="2026-04-07T11:43:00"/>
    <x v="0"/>
    <n v="1291"/>
    <s v="M/M 24/1 18 TRAMAS LILÁS MÉDIO"/>
    <x v="0"/>
    <x v="0"/>
    <x v="2"/>
    <x v="3"/>
    <x v="3"/>
    <x v="3"/>
  </r>
  <r>
    <x v="0"/>
    <x v="6"/>
    <x v="0"/>
    <x v="4"/>
    <d v="2026-04-07T05:46:00"/>
    <d v="2026-04-07T11:57:00"/>
    <x v="0"/>
    <n v="1479"/>
    <s v="M/M 24/1 18 TRAMAS BORDÔ"/>
    <x v="0"/>
    <x v="0"/>
    <x v="2"/>
    <x v="4"/>
    <x v="4"/>
    <x v="4"/>
  </r>
  <r>
    <x v="3"/>
    <x v="7"/>
    <x v="0"/>
    <x v="5"/>
    <d v="2026-04-07T06:00:00"/>
    <d v="2026-04-07T12:49:00"/>
    <x v="4"/>
    <n v="5712"/>
    <s v="PIQUE PA VERDE MILITAR"/>
    <x v="0"/>
    <x v="0"/>
    <x v="2"/>
    <x v="5"/>
    <x v="5"/>
    <x v="5"/>
  </r>
  <r>
    <x v="3"/>
    <x v="8"/>
    <x v="0"/>
    <x v="5"/>
    <d v="2026-04-07T06:00:00"/>
    <d v="2026-04-07T12:49:00"/>
    <x v="4"/>
    <n v="5712"/>
    <s v="PIQUE PA VERDE MILITAR"/>
    <x v="0"/>
    <x v="0"/>
    <x v="2"/>
    <x v="5"/>
    <x v="5"/>
    <x v="5"/>
  </r>
  <r>
    <x v="0"/>
    <x v="9"/>
    <x v="0"/>
    <x v="6"/>
    <d v="2026-04-07T06:48:00"/>
    <d v="2026-04-07T12:14:00"/>
    <x v="5"/>
    <n v="12247"/>
    <s v="VISCOLYCRA VORTEX MARINHO"/>
    <x v="0"/>
    <x v="0"/>
    <x v="2"/>
    <x v="6"/>
    <x v="6"/>
    <x v="6"/>
  </r>
  <r>
    <x v="0"/>
    <x v="10"/>
    <x v="0"/>
    <x v="7"/>
    <d v="2026-04-07T06:53:00"/>
    <d v="2026-04-07T12:19:00"/>
    <x v="5"/>
    <n v="12247"/>
    <s v="VISCOLYCRA VORTEX MARINHO"/>
    <x v="0"/>
    <x v="0"/>
    <x v="2"/>
    <x v="7"/>
    <x v="3"/>
    <x v="7"/>
  </r>
  <r>
    <x v="4"/>
    <x v="11"/>
    <x v="0"/>
    <x v="8"/>
    <d v="2026-04-07T08:34:00"/>
    <d v="2026-04-07T14:56:00"/>
    <x v="6"/>
    <n v="606"/>
    <s v="RIBANA 2X1 24/1 PA PRETO"/>
    <x v="0"/>
    <x v="0"/>
    <x v="1"/>
    <x v="8"/>
    <x v="7"/>
    <x v="8"/>
  </r>
  <r>
    <x v="4"/>
    <x v="12"/>
    <x v="0"/>
    <x v="8"/>
    <d v="2026-04-07T08:34:00"/>
    <d v="2026-04-07T14:56:00"/>
    <x v="6"/>
    <n v="606"/>
    <s v="RIBANA 2X1 24/1 PA PRETO"/>
    <x v="0"/>
    <x v="0"/>
    <x v="1"/>
    <x v="8"/>
    <x v="7"/>
    <x v="8"/>
  </r>
  <r>
    <x v="5"/>
    <x v="13"/>
    <x v="0"/>
    <x v="9"/>
    <d v="2026-04-07T09:06:00"/>
    <d v="2026-04-07T13:03:00"/>
    <x v="7"/>
    <n v="24527"/>
    <s v="MOLETOM PA LISO MESCLA PRETO"/>
    <x v="1"/>
    <x v="1"/>
    <x v="1"/>
    <x v="9"/>
    <x v="7"/>
    <x v="9"/>
  </r>
  <r>
    <x v="5"/>
    <x v="14"/>
    <x v="0"/>
    <x v="9"/>
    <d v="2026-04-07T09:06:00"/>
    <d v="2026-04-07T13:03:00"/>
    <x v="7"/>
    <n v="24527"/>
    <s v="MOLETOM PA LISO MESCLA PRETO"/>
    <x v="0"/>
    <x v="2"/>
    <x v="1"/>
    <x v="9"/>
    <x v="7"/>
    <x v="9"/>
  </r>
  <r>
    <x v="6"/>
    <x v="15"/>
    <x v="0"/>
    <x v="1"/>
    <d v="2026-04-07T09:12:00"/>
    <d v="2026-04-07T13:09:00"/>
    <x v="2"/>
    <n v="9785"/>
    <s v="RIBANA 30/1 OE PRETO"/>
    <x v="0"/>
    <x v="2"/>
    <x v="1"/>
    <x v="10"/>
    <x v="8"/>
    <x v="10"/>
  </r>
  <r>
    <x v="6"/>
    <x v="16"/>
    <x v="0"/>
    <x v="1"/>
    <d v="2026-04-07T09:12:00"/>
    <d v="2026-04-07T13:09:00"/>
    <x v="1"/>
    <n v="1332"/>
    <s v="M/M 30/1 PENTEADO PRETO"/>
    <x v="0"/>
    <x v="2"/>
    <x v="1"/>
    <x v="10"/>
    <x v="8"/>
    <x v="10"/>
  </r>
  <r>
    <x v="0"/>
    <x v="17"/>
    <x v="0"/>
    <x v="10"/>
    <d v="2026-04-07T09:19:00"/>
    <d v="2026-04-07T12:47:00"/>
    <x v="0"/>
    <n v="1651"/>
    <s v="M/M 24/1 18 TRAMAS BRANCO"/>
    <x v="0"/>
    <x v="0"/>
    <x v="3"/>
    <x v="11"/>
    <x v="9"/>
    <x v="11"/>
  </r>
  <r>
    <x v="7"/>
    <x v="18"/>
    <x v="0"/>
    <x v="2"/>
    <d v="2026-04-07T09:50:00"/>
    <d v="2026-04-07T15:51:00"/>
    <x v="3"/>
    <n v="23974"/>
    <s v="RIBANA 2X1 24/1 OE FERRUGEM ESPECIAL"/>
    <x v="0"/>
    <x v="2"/>
    <x v="2"/>
    <x v="12"/>
    <x v="3"/>
    <x v="12"/>
  </r>
  <r>
    <x v="7"/>
    <x v="19"/>
    <x v="0"/>
    <x v="2"/>
    <d v="2026-04-07T09:50:00"/>
    <d v="2026-04-07T15:51:00"/>
    <x v="1"/>
    <n v="10002"/>
    <s v="M/M 30/1 PENTEADO FERRUGEM ESPECIAL"/>
    <x v="0"/>
    <x v="2"/>
    <x v="2"/>
    <x v="12"/>
    <x v="3"/>
    <x v="12"/>
  </r>
  <r>
    <x v="0"/>
    <x v="20"/>
    <x v="0"/>
    <x v="0"/>
    <d v="2026-04-07T09:56:00"/>
    <d v="2026-04-07T13:10:00"/>
    <x v="0"/>
    <n v="2381"/>
    <s v="M/M 24/1 18 TRAMAS ROSA BEBÊ"/>
    <x v="0"/>
    <x v="3"/>
    <x v="2"/>
    <x v="13"/>
    <x v="10"/>
    <x v="13"/>
  </r>
  <r>
    <x v="8"/>
    <x v="21"/>
    <x v="0"/>
    <x v="3"/>
    <d v="2026-04-07T11:44:00"/>
    <d v="2026-04-07T14:45:00"/>
    <x v="3"/>
    <n v="22642"/>
    <s v="RIBANA 2X1 24/1 OE AZUL CELESTE"/>
    <x v="0"/>
    <x v="2"/>
    <x v="2"/>
    <x v="14"/>
    <x v="11"/>
    <x v="14"/>
  </r>
  <r>
    <x v="8"/>
    <x v="22"/>
    <x v="0"/>
    <x v="3"/>
    <d v="2026-04-07T11:44:00"/>
    <d v="2026-04-07T14:45:00"/>
    <x v="1"/>
    <n v="3481"/>
    <s v="M/M 30/1 PENTEADO AZUL CELESTE"/>
    <x v="0"/>
    <x v="2"/>
    <x v="2"/>
    <x v="14"/>
    <x v="11"/>
    <x v="14"/>
  </r>
  <r>
    <x v="9"/>
    <x v="23"/>
    <x v="1"/>
    <x v="4"/>
    <d v="2026-04-07T11:58:00"/>
    <d v="2026-04-07T20:47:00"/>
    <x v="8"/>
    <n v="12303"/>
    <s v="RIBANA 30/1 PV ROYAL"/>
    <x v="1"/>
    <x v="1"/>
    <x v="4"/>
    <x v="15"/>
    <x v="12"/>
    <x v="15"/>
  </r>
  <r>
    <x v="9"/>
    <x v="24"/>
    <x v="1"/>
    <x v="4"/>
    <d v="2026-04-07T11:58:00"/>
    <d v="2026-04-07T20:47:00"/>
    <x v="8"/>
    <n v="12303"/>
    <s v="RIBANA 30/1 PV ROYAL"/>
    <x v="1"/>
    <x v="1"/>
    <x v="4"/>
    <x v="15"/>
    <x v="12"/>
    <x v="15"/>
  </r>
  <r>
    <x v="0"/>
    <x v="25"/>
    <x v="0"/>
    <x v="6"/>
    <d v="2026-04-07T12:15:00"/>
    <d v="2026-04-07T17:31:00"/>
    <x v="5"/>
    <n v="12247"/>
    <s v="VISCOLYCRA VORTEX MARINHO"/>
    <x v="0"/>
    <x v="2"/>
    <x v="3"/>
    <x v="16"/>
    <x v="13"/>
    <x v="16"/>
  </r>
  <r>
    <x v="0"/>
    <x v="26"/>
    <x v="0"/>
    <x v="7"/>
    <d v="2026-04-07T12:20:00"/>
    <d v="2026-04-07T20:21:00"/>
    <x v="9"/>
    <n v="16823"/>
    <s v="MOLETOM PA TUBULAR VERDE BANDEIRA"/>
    <x v="0"/>
    <x v="2"/>
    <x v="5"/>
    <x v="17"/>
    <x v="14"/>
    <x v="17"/>
  </r>
  <r>
    <x v="0"/>
    <x v="27"/>
    <x v="1"/>
    <x v="10"/>
    <d v="2026-04-07T12:48:00"/>
    <d v="2026-04-07T14:57:00"/>
    <x v="1"/>
    <n v="258"/>
    <s v="M/M 30/1 PENTEADO MARFIM"/>
    <x v="0"/>
    <x v="3"/>
    <x v="4"/>
    <x v="15"/>
    <x v="12"/>
    <x v="15"/>
  </r>
  <r>
    <x v="10"/>
    <x v="28"/>
    <x v="1"/>
    <x v="5"/>
    <d v="2026-04-07T12:50:00"/>
    <d v="2026-04-07T21:49:00"/>
    <x v="10"/>
    <n v="1444"/>
    <s v="M/M 30/1 PV ROYAL"/>
    <x v="0"/>
    <x v="3"/>
    <x v="4"/>
    <x v="15"/>
    <x v="12"/>
    <x v="15"/>
  </r>
  <r>
    <x v="10"/>
    <x v="29"/>
    <x v="1"/>
    <x v="5"/>
    <d v="2026-04-07T12:50:00"/>
    <d v="2026-04-07T21:49:00"/>
    <x v="8"/>
    <n v="12303"/>
    <s v="RIBANA 30/1 PV ROYAL"/>
    <x v="0"/>
    <x v="3"/>
    <x v="4"/>
    <x v="15"/>
    <x v="12"/>
    <x v="15"/>
  </r>
  <r>
    <x v="10"/>
    <x v="30"/>
    <x v="1"/>
    <x v="5"/>
    <d v="2026-04-07T12:50:00"/>
    <d v="2026-04-07T21:49:00"/>
    <x v="10"/>
    <n v="1444"/>
    <s v="M/M 30/1 PV ROYAL"/>
    <x v="0"/>
    <x v="3"/>
    <x v="4"/>
    <x v="15"/>
    <x v="12"/>
    <x v="15"/>
  </r>
  <r>
    <x v="10"/>
    <x v="31"/>
    <x v="1"/>
    <x v="5"/>
    <d v="2026-04-07T12:50:00"/>
    <d v="2026-04-07T21:49:00"/>
    <x v="8"/>
    <n v="12303"/>
    <s v="RIBANA 30/1 PV ROYAL"/>
    <x v="0"/>
    <x v="3"/>
    <x v="4"/>
    <x v="15"/>
    <x v="12"/>
    <x v="15"/>
  </r>
  <r>
    <x v="0"/>
    <x v="32"/>
    <x v="1"/>
    <x v="9"/>
    <d v="2026-04-07T13:04:00"/>
    <d v="2026-04-07T19:06:00"/>
    <x v="9"/>
    <n v="14807"/>
    <s v="MOLETOM PA TUBULAR MARINHO"/>
    <x v="0"/>
    <x v="3"/>
    <x v="4"/>
    <x v="15"/>
    <x v="12"/>
    <x v="15"/>
  </r>
  <r>
    <x v="11"/>
    <x v="33"/>
    <x v="0"/>
    <x v="1"/>
    <d v="2026-04-07T13:10:00"/>
    <d v="2026-04-07T18:53:00"/>
    <x v="8"/>
    <n v="11473"/>
    <s v="RIBANA 30/1 PV PRETO"/>
    <x v="0"/>
    <x v="2"/>
    <x v="1"/>
    <x v="18"/>
    <x v="15"/>
    <x v="18"/>
  </r>
  <r>
    <x v="11"/>
    <x v="34"/>
    <x v="0"/>
    <x v="1"/>
    <d v="2026-04-07T13:10:00"/>
    <d v="2026-04-07T18:53:00"/>
    <x v="10"/>
    <n v="1334"/>
    <s v="M/M 30/1 PV PRETO"/>
    <x v="0"/>
    <x v="2"/>
    <x v="1"/>
    <x v="18"/>
    <x v="15"/>
    <x v="18"/>
  </r>
  <r>
    <x v="0"/>
    <x v="35"/>
    <x v="1"/>
    <x v="0"/>
    <d v="2026-04-07T13:11:00"/>
    <d v="2026-04-07T16:25:00"/>
    <x v="0"/>
    <n v="2381"/>
    <s v="M/M 24/1 18 TRAMAS ROSA BEBÊ"/>
    <x v="0"/>
    <x v="3"/>
    <x v="4"/>
    <x v="15"/>
    <x v="12"/>
    <x v="15"/>
  </r>
  <r>
    <x v="0"/>
    <x v="36"/>
    <x v="1"/>
    <x v="3"/>
    <d v="2026-04-07T14:46:00"/>
    <d v="2026-04-07T21:23:00"/>
    <x v="0"/>
    <n v="1429"/>
    <s v="M/M 24/1 18 TRAMAS VERMELHO"/>
    <x v="0"/>
    <x v="3"/>
    <x v="4"/>
    <x v="15"/>
    <x v="12"/>
    <x v="15"/>
  </r>
  <r>
    <x v="12"/>
    <x v="37"/>
    <x v="1"/>
    <x v="8"/>
    <d v="2026-04-07T14:57:00"/>
    <d v="2026-04-07T19:33:00"/>
    <x v="11"/>
    <n v="952"/>
    <s v="SUPLEX ESPECIAL PRETO"/>
    <x v="0"/>
    <x v="3"/>
    <x v="4"/>
    <x v="15"/>
    <x v="12"/>
    <x v="15"/>
  </r>
  <r>
    <x v="12"/>
    <x v="38"/>
    <x v="1"/>
    <x v="8"/>
    <d v="2026-04-07T14:57:00"/>
    <d v="2026-04-07T19:33:00"/>
    <x v="11"/>
    <n v="952"/>
    <s v="SUPLEX ESPECIAL PRETO"/>
    <x v="0"/>
    <x v="3"/>
    <x v="4"/>
    <x v="15"/>
    <x v="12"/>
    <x v="15"/>
  </r>
  <r>
    <x v="0"/>
    <x v="39"/>
    <x v="1"/>
    <x v="10"/>
    <d v="2026-04-07T14:58:00"/>
    <d v="2026-04-07T17:07:00"/>
    <x v="1"/>
    <n v="258"/>
    <s v="M/M 30/1 PENTEADO MARFIM"/>
    <x v="0"/>
    <x v="3"/>
    <x v="4"/>
    <x v="15"/>
    <x v="12"/>
    <x v="15"/>
  </r>
  <r>
    <x v="13"/>
    <x v="40"/>
    <x v="1"/>
    <x v="2"/>
    <d v="2026-04-07T15:52:00"/>
    <d v="2026-04-07T22:29:00"/>
    <x v="3"/>
    <n v="22786"/>
    <s v="RIBANA 2X1 24/1 OE FÚCHSIA"/>
    <x v="0"/>
    <x v="3"/>
    <x v="4"/>
    <x v="15"/>
    <x v="12"/>
    <x v="15"/>
  </r>
  <r>
    <x v="13"/>
    <x v="41"/>
    <x v="1"/>
    <x v="2"/>
    <d v="2026-04-07T15:52:00"/>
    <d v="2026-04-07T22:29:00"/>
    <x v="1"/>
    <n v="21643"/>
    <s v="M/M 30/1 PENTEADO FÚCHSIA"/>
    <x v="0"/>
    <x v="3"/>
    <x v="4"/>
    <x v="15"/>
    <x v="12"/>
    <x v="15"/>
  </r>
  <r>
    <x v="0"/>
    <x v="42"/>
    <x v="1"/>
    <x v="0"/>
    <d v="2026-04-07T16:26:00"/>
    <d v="2026-04-07T19:41:00"/>
    <x v="0"/>
    <n v="1251"/>
    <s v="M/M 24/1 18 TRAMAS CINZA CLARO"/>
    <x v="0"/>
    <x v="3"/>
    <x v="4"/>
    <x v="15"/>
    <x v="12"/>
    <x v="15"/>
  </r>
  <r>
    <x v="0"/>
    <x v="43"/>
    <x v="1"/>
    <x v="10"/>
    <d v="2026-04-07T17:08:00"/>
    <d v="2026-04-07T19:17:00"/>
    <x v="1"/>
    <n v="258"/>
    <s v="M/M 30/1 PENTEADO MARFIM"/>
    <x v="0"/>
    <x v="3"/>
    <x v="4"/>
    <x v="15"/>
    <x v="12"/>
    <x v="15"/>
  </r>
  <r>
    <x v="0"/>
    <x v="44"/>
    <x v="0"/>
    <x v="6"/>
    <d v="2026-04-07T17:32:00"/>
    <d v="2026-04-07T23:40:00"/>
    <x v="8"/>
    <n v="12129"/>
    <s v="RIBANA 30/1 PV MARINHO"/>
    <x v="0"/>
    <x v="2"/>
    <x v="0"/>
    <x v="19"/>
    <x v="16"/>
    <x v="19"/>
  </r>
  <r>
    <x v="14"/>
    <x v="45"/>
    <x v="1"/>
    <x v="1"/>
    <d v="2026-04-07T18:54:00"/>
    <d v="2026-04-08T02:40:00"/>
    <x v="10"/>
    <n v="1344"/>
    <s v="M/M 30/1 PV MARINHO"/>
    <x v="0"/>
    <x v="3"/>
    <x v="4"/>
    <x v="15"/>
    <x v="12"/>
    <x v="15"/>
  </r>
  <r>
    <x v="14"/>
    <x v="46"/>
    <x v="1"/>
    <x v="1"/>
    <d v="2026-04-07T18:54:00"/>
    <d v="2026-04-08T02:40:00"/>
    <x v="8"/>
    <n v="12129"/>
    <s v="RIBANA 30/1 PV MARINHO"/>
    <x v="0"/>
    <x v="3"/>
    <x v="4"/>
    <x v="15"/>
    <x v="12"/>
    <x v="15"/>
  </r>
  <r>
    <x v="0"/>
    <x v="47"/>
    <x v="1"/>
    <x v="9"/>
    <d v="2026-04-07T19:07:00"/>
    <d v="2026-04-08T01:09:00"/>
    <x v="9"/>
    <n v="16657"/>
    <s v="MOLETOM PA TUBULAR MARINHO"/>
    <x v="2"/>
    <x v="1"/>
    <x v="4"/>
    <x v="15"/>
    <x v="12"/>
    <x v="15"/>
  </r>
  <r>
    <x v="0"/>
    <x v="48"/>
    <x v="1"/>
    <x v="10"/>
    <d v="2026-04-07T19:18:00"/>
    <d v="2026-04-07T21:27:00"/>
    <x v="1"/>
    <n v="258"/>
    <s v="M/M 30/1 PENTEADO MARFIM"/>
    <x v="0"/>
    <x v="3"/>
    <x v="4"/>
    <x v="15"/>
    <x v="12"/>
    <x v="15"/>
  </r>
  <r>
    <x v="15"/>
    <x v="49"/>
    <x v="1"/>
    <x v="8"/>
    <d v="2026-04-07T19:34:00"/>
    <d v="2026-04-08T00:48:00"/>
    <x v="1"/>
    <n v="1332"/>
    <s v="M/M 30/1 PENTEADO PRETO"/>
    <x v="1"/>
    <x v="1"/>
    <x v="4"/>
    <x v="15"/>
    <x v="12"/>
    <x v="15"/>
  </r>
  <r>
    <x v="15"/>
    <x v="50"/>
    <x v="1"/>
    <x v="8"/>
    <d v="2026-04-07T19:34:00"/>
    <d v="2026-04-08T00:48:00"/>
    <x v="1"/>
    <n v="1332"/>
    <s v="M/M 30/1 PENTEADO PRETO"/>
    <x v="1"/>
    <x v="0"/>
    <x v="4"/>
    <x v="15"/>
    <x v="12"/>
    <x v="15"/>
  </r>
  <r>
    <x v="15"/>
    <x v="51"/>
    <x v="1"/>
    <x v="8"/>
    <d v="2026-04-07T19:34:00"/>
    <d v="2026-04-08T00:48:00"/>
    <x v="2"/>
    <n v="9785"/>
    <s v="RIBANA 30/1 OE PRETO"/>
    <x v="1"/>
    <x v="0"/>
    <x v="4"/>
    <x v="15"/>
    <x v="12"/>
    <x v="15"/>
  </r>
  <r>
    <x v="15"/>
    <x v="52"/>
    <x v="1"/>
    <x v="8"/>
    <d v="2026-04-07T19:34:00"/>
    <d v="2026-04-08T00:48:00"/>
    <x v="2"/>
    <n v="9785"/>
    <s v="RIBANA 30/1 OE PRETO"/>
    <x v="1"/>
    <x v="1"/>
    <x v="4"/>
    <x v="15"/>
    <x v="12"/>
    <x v="15"/>
  </r>
  <r>
    <x v="0"/>
    <x v="53"/>
    <x v="1"/>
    <x v="7"/>
    <d v="2026-04-07T20:22:00"/>
    <d v="2026-04-08T02:49:00"/>
    <x v="0"/>
    <n v="2382"/>
    <s v="M/M 24/1 18 TRAMAS VERDE ESPECIAL"/>
    <x v="0"/>
    <x v="3"/>
    <x v="4"/>
    <x v="15"/>
    <x v="12"/>
    <x v="15"/>
  </r>
  <r>
    <x v="0"/>
    <x v="54"/>
    <x v="1"/>
    <x v="4"/>
    <d v="2026-04-07T20:48:00"/>
    <d v="2026-04-08T02:49:00"/>
    <x v="12"/>
    <n v="3617"/>
    <s v="M/M 30/1 CARDADA OE VERDE MILITAR"/>
    <x v="1"/>
    <x v="1"/>
    <x v="4"/>
    <x v="15"/>
    <x v="12"/>
    <x v="15"/>
  </r>
  <r>
    <x v="0"/>
    <x v="55"/>
    <x v="1"/>
    <x v="10"/>
    <d v="2026-04-07T21:28:00"/>
    <d v="2026-04-07T22:54:00"/>
    <x v="13"/>
    <n v="1825"/>
    <s v="POLIÉSTER FIADO BRANCO"/>
    <x v="0"/>
    <x v="3"/>
    <x v="4"/>
    <x v="15"/>
    <x v="12"/>
    <x v="15"/>
  </r>
  <r>
    <x v="16"/>
    <x v="56"/>
    <x v="1"/>
    <x v="5"/>
    <d v="2026-04-07T21:50:00"/>
    <d v="2026-04-08T02:30:00"/>
    <x v="13"/>
    <n v="2854"/>
    <s v="POLIÉSTER FIADO ROYAL"/>
    <x v="0"/>
    <x v="3"/>
    <x v="4"/>
    <x v="15"/>
    <x v="12"/>
    <x v="15"/>
  </r>
  <r>
    <x v="16"/>
    <x v="57"/>
    <x v="1"/>
    <x v="5"/>
    <d v="2026-04-07T21:50:00"/>
    <d v="2026-04-08T02:30:00"/>
    <x v="13"/>
    <n v="2854"/>
    <s v="POLIÉSTER FIADO ROYAL"/>
    <x v="0"/>
    <x v="3"/>
    <x v="4"/>
    <x v="15"/>
    <x v="12"/>
    <x v="15"/>
  </r>
  <r>
    <x v="0"/>
    <x v="58"/>
    <x v="1"/>
    <x v="2"/>
    <d v="2026-04-07T22:30:00"/>
    <d v="2026-04-08T05:07:00"/>
    <x v="0"/>
    <n v="21642"/>
    <s v="M/M 24/1 18 TRAMAS FÚCHSIA"/>
    <x v="0"/>
    <x v="3"/>
    <x v="4"/>
    <x v="15"/>
    <x v="12"/>
    <x v="15"/>
  </r>
  <r>
    <x v="0"/>
    <x v="59"/>
    <x v="1"/>
    <x v="10"/>
    <d v="2026-04-07T22:55:00"/>
    <d v="2026-04-08T00:21:00"/>
    <x v="13"/>
    <n v="1825"/>
    <s v="POLIÉSTER FIADO BRANCO"/>
    <x v="1"/>
    <x v="1"/>
    <x v="4"/>
    <x v="15"/>
    <x v="12"/>
    <x v="15"/>
  </r>
  <r>
    <x v="0"/>
    <x v="60"/>
    <x v="1"/>
    <x v="0"/>
    <d v="2026-04-07T22:58:00"/>
    <d v="2026-04-08T02:12:00"/>
    <x v="0"/>
    <n v="404"/>
    <s v="M/M 24/1 18 TRAMAS SALMAO BEBÊ"/>
    <x v="0"/>
    <x v="3"/>
    <x v="4"/>
    <x v="15"/>
    <x v="12"/>
    <x v="15"/>
  </r>
  <r>
    <x v="17"/>
    <x v="61"/>
    <x v="0"/>
    <x v="6"/>
    <d v="2026-04-07T23:41:00"/>
    <d v="2026-04-08T06:00:00"/>
    <x v="14"/>
    <n v="1847"/>
    <s v="GOLA PA MARINHO"/>
    <x v="0"/>
    <x v="2"/>
    <x v="1"/>
    <x v="20"/>
    <x v="17"/>
    <x v="20"/>
  </r>
  <r>
    <x v="17"/>
    <x v="62"/>
    <x v="0"/>
    <x v="6"/>
    <d v="2026-04-07T23:41:00"/>
    <d v="2026-04-08T06:00:00"/>
    <x v="4"/>
    <n v="1844"/>
    <s v="PIQUE PA MARINHO"/>
    <x v="0"/>
    <x v="2"/>
    <x v="1"/>
    <x v="20"/>
    <x v="17"/>
    <x v="20"/>
  </r>
  <r>
    <x v="18"/>
    <x v="63"/>
    <x v="1"/>
    <x v="10"/>
    <d v="2026-04-08T00:22:00"/>
    <d v="2026-04-08T02:31:00"/>
    <x v="1"/>
    <n v="258"/>
    <s v="M/M 30/1 PENTEADO MARFIM"/>
    <x v="1"/>
    <x v="0"/>
    <x v="4"/>
    <x v="15"/>
    <x v="12"/>
    <x v="15"/>
  </r>
  <r>
    <x v="18"/>
    <x v="64"/>
    <x v="1"/>
    <x v="10"/>
    <d v="2026-04-08T00:22:00"/>
    <d v="2026-04-08T02:31:00"/>
    <x v="2"/>
    <n v="10915"/>
    <s v="RIBANA 30/1 OE MARFIM"/>
    <x v="1"/>
    <x v="1"/>
    <x v="4"/>
    <x v="15"/>
    <x v="12"/>
    <x v="15"/>
  </r>
  <r>
    <x v="19"/>
    <x v="65"/>
    <x v="1"/>
    <x v="8"/>
    <d v="2026-04-08T00:49:00"/>
    <d v="2026-04-08T05:34:00"/>
    <x v="5"/>
    <n v="11944"/>
    <s v="VISCOLYCRA VORTEX PRETO"/>
    <x v="1"/>
    <x v="1"/>
    <x v="4"/>
    <x v="15"/>
    <x v="12"/>
    <x v="15"/>
  </r>
  <r>
    <x v="19"/>
    <x v="66"/>
    <x v="1"/>
    <x v="8"/>
    <d v="2026-04-08T00:49:00"/>
    <d v="2026-04-08T05:34:00"/>
    <x v="5"/>
    <n v="11944"/>
    <s v="VISCOLYCRA VORTEX PRETO"/>
    <x v="1"/>
    <x v="1"/>
    <x v="4"/>
    <x v="15"/>
    <x v="12"/>
    <x v="15"/>
  </r>
  <r>
    <x v="20"/>
    <x v="67"/>
    <x v="1"/>
    <x v="5"/>
    <d v="2026-04-08T02:31:00"/>
    <d v="2026-04-08T07:57:00"/>
    <x v="5"/>
    <n v="17151"/>
    <s v="VISCOLYCRA VORTEX MARROM"/>
    <x v="1"/>
    <x v="0"/>
    <x v="4"/>
    <x v="15"/>
    <x v="12"/>
    <x v="15"/>
  </r>
  <r>
    <x v="20"/>
    <x v="68"/>
    <x v="1"/>
    <x v="5"/>
    <d v="2026-04-08T02:31:00"/>
    <d v="2026-04-08T07:57:00"/>
    <x v="5"/>
    <n v="17151"/>
    <s v="VISCOLYCRA VORTEX MARROM"/>
    <x v="1"/>
    <x v="1"/>
    <x v="4"/>
    <x v="15"/>
    <x v="12"/>
    <x v="15"/>
  </r>
  <r>
    <x v="0"/>
    <x v="69"/>
    <x v="1"/>
    <x v="10"/>
    <d v="2026-04-08T02:32:00"/>
    <d v="2026-04-08T05:50:00"/>
    <x v="0"/>
    <n v="1651"/>
    <s v="M/M 24/1 18 TRAMAS BRANCO"/>
    <x v="1"/>
    <x v="1"/>
    <x v="4"/>
    <x v="15"/>
    <x v="12"/>
    <x v="15"/>
  </r>
  <r>
    <x v="0"/>
    <x v="70"/>
    <x v="1"/>
    <x v="3"/>
    <d v="2026-04-08T02:41:00"/>
    <d v="2026-04-08T08:31:00"/>
    <x v="0"/>
    <n v="1499"/>
    <s v="M/M 24/1 18 TRAMAS PINK"/>
    <x v="0"/>
    <x v="3"/>
    <x v="4"/>
    <x v="15"/>
    <x v="12"/>
    <x v="15"/>
  </r>
  <r>
    <x v="21"/>
    <x v="71"/>
    <x v="1"/>
    <x v="4"/>
    <d v="2026-04-08T02:50:00"/>
    <d v="2026-04-08T10:07:00"/>
    <x v="8"/>
    <n v="12470"/>
    <s v="RIBANA 30/1 PV VERDE BANDEIRA"/>
    <x v="1"/>
    <x v="1"/>
    <x v="4"/>
    <x v="15"/>
    <x v="12"/>
    <x v="15"/>
  </r>
  <r>
    <x v="0"/>
    <x v="72"/>
    <x v="1"/>
    <x v="7"/>
    <d v="2026-04-08T02:50:00"/>
    <d v="2026-04-08T09:17:00"/>
    <x v="0"/>
    <n v="1459"/>
    <s v="M/M 24/1 18 TRAMAS TURQUESA"/>
    <x v="0"/>
    <x v="3"/>
    <x v="4"/>
    <x v="15"/>
    <x v="12"/>
    <x v="15"/>
  </r>
  <r>
    <x v="21"/>
    <x v="73"/>
    <x v="1"/>
    <x v="4"/>
    <d v="2026-04-08T02:50:00"/>
    <d v="2026-04-08T10:07:00"/>
    <x v="8"/>
    <n v="12470"/>
    <s v="RIBANA 30/1 PV VERDE BANDEIRA"/>
    <x v="1"/>
    <x v="1"/>
    <x v="4"/>
    <x v="15"/>
    <x v="12"/>
    <x v="15"/>
  </r>
  <r>
    <x v="0"/>
    <x v="74"/>
    <x v="1"/>
    <x v="9"/>
    <d v="2026-04-08T04:06:00"/>
    <d v="2026-04-08T05:29:00"/>
    <x v="15"/>
    <n v="14539"/>
    <s v="MOLETOM MESCLA PA TUBULAR"/>
    <x v="2"/>
    <x v="1"/>
    <x v="4"/>
    <x v="15"/>
    <x v="12"/>
    <x v="15"/>
  </r>
  <r>
    <x v="0"/>
    <x v="75"/>
    <x v="1"/>
    <x v="2"/>
    <d v="2026-04-08T05:08:00"/>
    <d v="2026-04-08T12:15:00"/>
    <x v="12"/>
    <n v="10554"/>
    <s v="M/M 30/1 CARDADA OE CARAMELO"/>
    <x v="1"/>
    <x v="1"/>
    <x v="4"/>
    <x v="15"/>
    <x v="12"/>
    <x v="15"/>
  </r>
  <r>
    <x v="0"/>
    <x v="76"/>
    <x v="1"/>
    <x v="0"/>
    <d v="2026-04-08T05:29:00"/>
    <d v="2026-04-08T11:45:00"/>
    <x v="5"/>
    <n v="19315"/>
    <s v="VISCOLYCRA VORTEX CINZA CLARO"/>
    <x v="1"/>
    <x v="0"/>
    <x v="4"/>
    <x v="15"/>
    <x v="12"/>
    <x v="15"/>
  </r>
  <r>
    <x v="0"/>
    <x v="77"/>
    <x v="1"/>
    <x v="9"/>
    <d v="2026-04-08T05:30:00"/>
    <d v="2026-04-08T06:53:00"/>
    <x v="15"/>
    <n v="14539"/>
    <s v="MOLETOM MESCLA PA TUBULAR"/>
    <x v="2"/>
    <x v="1"/>
    <x v="4"/>
    <x v="15"/>
    <x v="12"/>
    <x v="15"/>
  </r>
  <r>
    <x v="22"/>
    <x v="78"/>
    <x v="1"/>
    <x v="8"/>
    <d v="2026-04-08T05:35:00"/>
    <d v="2026-04-08T11:01:00"/>
    <x v="5"/>
    <n v="12247"/>
    <s v="VISCOLYCRA VORTEX MARINHO"/>
    <x v="1"/>
    <x v="1"/>
    <x v="4"/>
    <x v="15"/>
    <x v="12"/>
    <x v="15"/>
  </r>
  <r>
    <x v="22"/>
    <x v="79"/>
    <x v="1"/>
    <x v="8"/>
    <d v="2026-04-08T05:35:00"/>
    <d v="2026-04-08T11:01:00"/>
    <x v="5"/>
    <n v="12247"/>
    <s v="VISCOLYCRA VORTEX MARINHO"/>
    <x v="1"/>
    <x v="1"/>
    <x v="4"/>
    <x v="15"/>
    <x v="12"/>
    <x v="15"/>
  </r>
  <r>
    <x v="0"/>
    <x v="80"/>
    <x v="1"/>
    <x v="10"/>
    <d v="2026-04-08T05:51:00"/>
    <d v="2026-04-08T09:09:00"/>
    <x v="0"/>
    <n v="1651"/>
    <s v="M/M 24/1 18 TRAMAS BRANCO"/>
    <x v="1"/>
    <x v="1"/>
    <x v="4"/>
    <x v="15"/>
    <x v="12"/>
    <x v="15"/>
  </r>
  <r>
    <x v="0"/>
    <x v="81"/>
    <x v="1"/>
    <x v="6"/>
    <d v="2026-04-08T06:01:00"/>
    <d v="2026-04-08T11:44:00"/>
    <x v="10"/>
    <n v="1334"/>
    <s v="M/M 30/1 PV PRETO"/>
    <x v="0"/>
    <x v="3"/>
    <x v="4"/>
    <x v="15"/>
    <x v="12"/>
    <x v="15"/>
  </r>
  <r>
    <x v="0"/>
    <x v="82"/>
    <x v="1"/>
    <x v="9"/>
    <d v="2026-04-08T06:54:00"/>
    <d v="2026-04-08T08:17:00"/>
    <x v="15"/>
    <n v="14539"/>
    <s v="MOLETOM MESCLA PA TUBULAR"/>
    <x v="1"/>
    <x v="1"/>
    <x v="4"/>
    <x v="15"/>
    <x v="12"/>
    <x v="15"/>
  </r>
  <r>
    <x v="23"/>
    <x v="83"/>
    <x v="1"/>
    <x v="5"/>
    <d v="2026-04-08T07:58:00"/>
    <d v="2026-04-08T13:24:00"/>
    <x v="5"/>
    <n v="17151"/>
    <s v="VISCOLYCRA VORTEX MARROM"/>
    <x v="0"/>
    <x v="3"/>
    <x v="4"/>
    <x v="15"/>
    <x v="12"/>
    <x v="15"/>
  </r>
  <r>
    <x v="23"/>
    <x v="84"/>
    <x v="1"/>
    <x v="5"/>
    <d v="2026-04-08T07:58:00"/>
    <d v="2026-04-08T13:24:00"/>
    <x v="5"/>
    <n v="17151"/>
    <s v="VISCOLYCRA VORTEX MARROM"/>
    <x v="1"/>
    <x v="0"/>
    <x v="4"/>
    <x v="15"/>
    <x v="12"/>
    <x v="15"/>
  </r>
  <r>
    <x v="0"/>
    <x v="85"/>
    <x v="1"/>
    <x v="3"/>
    <d v="2026-04-08T08:32:00"/>
    <d v="2026-04-08T15:39:00"/>
    <x v="0"/>
    <n v="9453"/>
    <s v="M/M 24/1 18 TRAMAS CARAMELO"/>
    <x v="0"/>
    <x v="3"/>
    <x v="4"/>
    <x v="15"/>
    <x v="12"/>
    <x v="15"/>
  </r>
  <r>
    <x v="0"/>
    <x v="86"/>
    <x v="1"/>
    <x v="10"/>
    <d v="2026-04-08T09:10:00"/>
    <d v="2026-04-08T13:06:00"/>
    <x v="0"/>
    <n v="1261"/>
    <s v="M/M 24/1 18 TRAMAS VERDE BEBÊ"/>
    <x v="1"/>
    <x v="1"/>
    <x v="4"/>
    <x v="15"/>
    <x v="12"/>
    <x v="15"/>
  </r>
  <r>
    <x v="24"/>
    <x v="87"/>
    <x v="1"/>
    <x v="7"/>
    <d v="2026-04-08T09:18:00"/>
    <d v="2026-04-08T15:19:00"/>
    <x v="3"/>
    <n v="22978"/>
    <s v="RIBANA 2X1 24/1 OE VINHO"/>
    <x v="1"/>
    <x v="1"/>
    <x v="4"/>
    <x v="15"/>
    <x v="12"/>
    <x v="15"/>
  </r>
  <r>
    <x v="24"/>
    <x v="88"/>
    <x v="1"/>
    <x v="7"/>
    <d v="2026-04-08T09:18:00"/>
    <d v="2026-04-08T15:19:00"/>
    <x v="1"/>
    <n v="1472"/>
    <s v="M/M 30/1 PENTEADO VINHO"/>
    <x v="1"/>
    <x v="1"/>
    <x v="4"/>
    <x v="15"/>
    <x v="12"/>
    <x v="15"/>
  </r>
  <r>
    <x v="0"/>
    <x v="89"/>
    <x v="1"/>
    <x v="9"/>
    <d v="2026-04-08T11:20:00"/>
    <d v="2026-04-08T16:35:00"/>
    <x v="7"/>
    <n v="24526"/>
    <s v="MOLETOM PA LISO CAQUI"/>
    <x v="1"/>
    <x v="1"/>
    <x v="4"/>
    <x v="15"/>
    <x v="12"/>
    <x v="15"/>
  </r>
  <r>
    <x v="0"/>
    <x v="90"/>
    <x v="1"/>
    <x v="10"/>
    <d v="2026-04-08T13:07:00"/>
    <d v="2026-04-08T16:02:00"/>
    <x v="0"/>
    <n v="1319"/>
    <s v="M/M 24/1 18 TRAMAS ROSA CHICLETE"/>
    <x v="1"/>
    <x v="1"/>
    <x v="4"/>
    <x v="15"/>
    <x v="12"/>
    <x v="15"/>
  </r>
  <r>
    <x v="25"/>
    <x v="91"/>
    <x v="1"/>
    <x v="5"/>
    <d v="2026-04-08T13:25:00"/>
    <d v="2026-04-08T18:51:00"/>
    <x v="5"/>
    <n v="12250"/>
    <s v="VISCOLYCRA VORTEX VINHO"/>
    <x v="1"/>
    <x v="1"/>
    <x v="4"/>
    <x v="15"/>
    <x v="12"/>
    <x v="15"/>
  </r>
  <r>
    <x v="25"/>
    <x v="92"/>
    <x v="1"/>
    <x v="5"/>
    <d v="2026-04-08T13:25:00"/>
    <d v="2026-04-08T18:51:00"/>
    <x v="5"/>
    <n v="12250"/>
    <s v="VISCOLYCRA VORTEX VINHO"/>
    <x v="1"/>
    <x v="1"/>
    <x v="4"/>
    <x v="15"/>
    <x v="12"/>
    <x v="15"/>
  </r>
  <r>
    <x v="0"/>
    <x v="93"/>
    <x v="1"/>
    <x v="0"/>
    <d v="2026-04-08T15:02:00"/>
    <d v="2026-04-08T17:20:00"/>
    <x v="16"/>
    <n v="1654"/>
    <s v="HELANQUINHA DRY FIT BRANCO"/>
    <x v="1"/>
    <x v="1"/>
    <x v="4"/>
    <x v="15"/>
    <x v="12"/>
    <x v="15"/>
  </r>
  <r>
    <x v="0"/>
    <x v="94"/>
    <x v="1"/>
    <x v="3"/>
    <d v="2026-04-08T15:40:00"/>
    <d v="2026-04-08T23:12:00"/>
    <x v="0"/>
    <n v="1439"/>
    <s v="M/M 24/1 18 TRAMAS ROYAL"/>
    <x v="1"/>
    <x v="1"/>
    <x v="4"/>
    <x v="15"/>
    <x v="12"/>
    <x v="15"/>
  </r>
  <r>
    <x v="0"/>
    <x v="95"/>
    <x v="1"/>
    <x v="10"/>
    <d v="2026-04-08T16:03:00"/>
    <d v="2026-04-08T19:03:00"/>
    <x v="0"/>
    <n v="2381"/>
    <s v="M/M 24/1 18 TRAMAS ROSA BEBÊ"/>
    <x v="1"/>
    <x v="1"/>
    <x v="4"/>
    <x v="15"/>
    <x v="12"/>
    <x v="15"/>
  </r>
  <r>
    <x v="0"/>
    <x v="96"/>
    <x v="1"/>
    <x v="0"/>
    <d v="2026-04-08T17:21:00"/>
    <d v="2026-04-08T19:39:00"/>
    <x v="16"/>
    <n v="1654"/>
    <s v="HELANQUINHA DRY FIT BRANCO"/>
    <x v="1"/>
    <x v="1"/>
    <x v="4"/>
    <x v="15"/>
    <x v="12"/>
    <x v="15"/>
  </r>
  <r>
    <x v="26"/>
    <x v="97"/>
    <x v="1"/>
    <x v="5"/>
    <d v="2026-04-08T18:52:00"/>
    <d v="2026-04-08T23:55:00"/>
    <x v="5"/>
    <n v="11853"/>
    <s v="VISCOLYCRA VORTEX VERMELHO"/>
    <x v="1"/>
    <x v="1"/>
    <x v="4"/>
    <x v="15"/>
    <x v="12"/>
    <x v="15"/>
  </r>
  <r>
    <x v="26"/>
    <x v="98"/>
    <x v="1"/>
    <x v="5"/>
    <d v="2026-04-08T18:52:00"/>
    <d v="2026-04-08T23:55:00"/>
    <x v="5"/>
    <n v="11853"/>
    <s v="VISCOLYCRA VORTEX VERMELHO"/>
    <x v="1"/>
    <x v="1"/>
    <x v="4"/>
    <x v="15"/>
    <x v="12"/>
    <x v="15"/>
  </r>
  <r>
    <x v="0"/>
    <x v="99"/>
    <x v="1"/>
    <x v="10"/>
    <d v="2026-04-08T19:04:00"/>
    <d v="2026-04-08T23:00:00"/>
    <x v="0"/>
    <n v="22676"/>
    <s v="M/M 24/1 18 TRAMAS PISTACHE"/>
    <x v="1"/>
    <x v="1"/>
    <x v="4"/>
    <x v="15"/>
    <x v="12"/>
    <x v="15"/>
  </r>
  <r>
    <x v="0"/>
    <x v="100"/>
    <x v="1"/>
    <x v="9"/>
    <d v="2026-04-08T20:33:00"/>
    <d v="2026-04-09T01:03:00"/>
    <x v="9"/>
    <n v="21357"/>
    <s v="MOLETOM PA TUBULAR ROSA CHICLETE"/>
    <x v="0"/>
    <x v="3"/>
    <x v="4"/>
    <x v="15"/>
    <x v="12"/>
    <x v="15"/>
  </r>
  <r>
    <x v="0"/>
    <x v="101"/>
    <x v="1"/>
    <x v="6"/>
    <d v="2026-04-08T22:20:00"/>
    <d v="2026-04-08T23:43:00"/>
    <x v="15"/>
    <n v="14539"/>
    <s v="MOLETOM MESCLA PA TUBULAR"/>
    <x v="1"/>
    <x v="1"/>
    <x v="4"/>
    <x v="15"/>
    <x v="12"/>
    <x v="15"/>
  </r>
  <r>
    <x v="0"/>
    <x v="102"/>
    <x v="1"/>
    <x v="3"/>
    <d v="2026-04-08T23:13:00"/>
    <d v="2026-04-09T05:32:00"/>
    <x v="9"/>
    <n v="14978"/>
    <s v="MOLETOM PA TUBULAR VERDE MILITAR"/>
    <x v="1"/>
    <x v="1"/>
    <x v="4"/>
    <x v="15"/>
    <x v="12"/>
    <x v="15"/>
  </r>
  <r>
    <x v="0"/>
    <x v="103"/>
    <x v="1"/>
    <x v="1"/>
    <d v="2026-04-08T23:48:00"/>
    <d v="2026-04-09T04:14:00"/>
    <x v="11"/>
    <n v="967"/>
    <s v="SUPLEX ESPECIAL MARINHO"/>
    <x v="1"/>
    <x v="1"/>
    <x v="4"/>
    <x v="15"/>
    <x v="12"/>
    <x v="15"/>
  </r>
  <r>
    <x v="27"/>
    <x v="104"/>
    <x v="1"/>
    <x v="5"/>
    <d v="2026-04-08T23:56:00"/>
    <d v="2026-04-09T05:27:00"/>
    <x v="5"/>
    <n v="12961"/>
    <s v="VISCOLYCRA VORTEX ROYAL"/>
    <x v="1"/>
    <x v="1"/>
    <x v="4"/>
    <x v="15"/>
    <x v="12"/>
    <x v="15"/>
  </r>
  <r>
    <x v="27"/>
    <x v="105"/>
    <x v="1"/>
    <x v="5"/>
    <d v="2026-04-08T23:56:00"/>
    <d v="2026-04-09T05:27:00"/>
    <x v="5"/>
    <n v="12961"/>
    <s v="VISCOLYCRA VORTEX ROYAL"/>
    <x v="1"/>
    <x v="1"/>
    <x v="4"/>
    <x v="15"/>
    <x v="12"/>
    <x v="15"/>
  </r>
  <r>
    <x v="0"/>
    <x v="106"/>
    <x v="1"/>
    <x v="9"/>
    <d v="2026-04-09T01:04:00"/>
    <d v="2026-04-09T05:34:00"/>
    <x v="9"/>
    <n v="23460"/>
    <s v="MOLETOM PA TUBULAR LILÁS CLARO"/>
    <x v="0"/>
    <x v="3"/>
    <x v="4"/>
    <x v="15"/>
    <x v="12"/>
    <x v="15"/>
  </r>
  <r>
    <x v="0"/>
    <x v="107"/>
    <x v="1"/>
    <x v="10"/>
    <d v="2026-04-09T03:27:00"/>
    <d v="2026-04-09T04:53:00"/>
    <x v="13"/>
    <n v="1825"/>
    <s v="POLIÉSTER FIADO BRANCO"/>
    <x v="0"/>
    <x v="3"/>
    <x v="4"/>
    <x v="15"/>
    <x v="12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19" firstHeaderRow="1" firstDataRow="1" firstDataCol="1" rowPageCount="1" colPageCount="1"/>
  <pivotFields count="15">
    <pivotField axis="axisRow" showAll="0" defaultSubtotal="0">
      <items count="28">
        <item x="0"/>
        <item x="4"/>
        <item x="17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axis="axisRow" showAll="0" sortType="ascending" defaultSubtotal="0">
      <items count="108">
        <item x="20"/>
        <item x="12"/>
        <item x="11"/>
        <item x="35"/>
        <item x="44"/>
        <item x="61"/>
        <item x="62"/>
        <item x="0"/>
        <item x="1"/>
        <item x="2"/>
        <item x="3"/>
        <item x="4"/>
        <item x="5"/>
        <item x="6"/>
        <item x="7"/>
        <item x="8"/>
        <item x="9"/>
        <item x="10"/>
        <item x="13"/>
        <item x="14"/>
        <item x="15"/>
        <item x="16"/>
        <item x="17"/>
        <item x="18"/>
        <item x="19"/>
        <item x="21"/>
        <item x="22"/>
        <item x="24"/>
        <item x="23"/>
        <item x="25"/>
        <item x="26"/>
        <item x="27"/>
        <item x="29"/>
        <item x="31"/>
        <item x="28"/>
        <item x="30"/>
        <item x="32"/>
        <item x="33"/>
        <item x="34"/>
        <item x="36"/>
        <item x="37"/>
        <item x="38"/>
        <item x="39"/>
        <item x="41"/>
        <item x="40"/>
        <item x="42"/>
        <item x="43"/>
        <item x="45"/>
        <item x="46"/>
        <item x="47"/>
        <item x="48"/>
        <item x="49"/>
        <item x="52"/>
        <item x="50"/>
        <item x="51"/>
        <item x="53"/>
        <item x="54"/>
        <item x="55"/>
        <item x="56"/>
        <item x="57"/>
        <item x="58"/>
        <item x="59"/>
        <item x="60"/>
        <item x="63"/>
        <item x="64"/>
        <item x="66"/>
        <item x="65"/>
        <item x="67"/>
        <item x="68"/>
        <item x="69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4"/>
        <item x="106"/>
        <item x="10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"/>
        <item x="10"/>
        <item x="3"/>
        <item x="2"/>
        <item x="7"/>
        <item x="4"/>
        <item x="6"/>
        <item x="9"/>
        <item x="8"/>
        <item x="0"/>
        <item x="5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16">
    <i>
      <x/>
    </i>
    <i r="1">
      <x/>
    </i>
    <i r="2">
      <x v="103"/>
    </i>
    <i r="1">
      <x v="15"/>
    </i>
    <i r="2">
      <x v="47"/>
    </i>
    <i r="2">
      <x v="48"/>
    </i>
    <i>
      <x v="1"/>
    </i>
    <i r="1">
      <x/>
    </i>
    <i r="2">
      <x v="31"/>
    </i>
    <i r="2">
      <x v="42"/>
    </i>
    <i r="2">
      <x v="46"/>
    </i>
    <i r="2">
      <x v="50"/>
    </i>
    <i r="2">
      <x v="57"/>
    </i>
    <i r="2">
      <x v="61"/>
    </i>
    <i r="2">
      <x v="69"/>
    </i>
    <i r="2">
      <x v="80"/>
    </i>
    <i r="2">
      <x v="86"/>
    </i>
    <i r="2">
      <x v="90"/>
    </i>
    <i r="2">
      <x v="95"/>
    </i>
    <i r="2">
      <x v="99"/>
    </i>
    <i r="2">
      <x v="107"/>
    </i>
    <i r="1">
      <x v="18"/>
    </i>
    <i r="2">
      <x v="63"/>
    </i>
    <i r="2">
      <x v="64"/>
    </i>
    <i>
      <x v="2"/>
    </i>
    <i r="1">
      <x/>
    </i>
    <i r="2">
      <x v="39"/>
    </i>
    <i r="2">
      <x v="70"/>
    </i>
    <i r="2">
      <x v="85"/>
    </i>
    <i r="2">
      <x v="94"/>
    </i>
    <i r="2">
      <x v="102"/>
    </i>
    <i>
      <x v="3"/>
    </i>
    <i r="1">
      <x/>
    </i>
    <i r="2">
      <x v="60"/>
    </i>
    <i r="2">
      <x v="75"/>
    </i>
    <i r="1">
      <x v="14"/>
    </i>
    <i r="2">
      <x v="43"/>
    </i>
    <i r="2">
      <x v="44"/>
    </i>
    <i>
      <x v="4"/>
    </i>
    <i r="1">
      <x/>
    </i>
    <i r="2">
      <x v="55"/>
    </i>
    <i r="2">
      <x v="71"/>
    </i>
    <i r="1">
      <x v="24"/>
    </i>
    <i r="2">
      <x v="87"/>
    </i>
    <i r="2">
      <x v="88"/>
    </i>
    <i>
      <x v="5"/>
    </i>
    <i r="1">
      <x/>
    </i>
    <i r="2">
      <x v="56"/>
    </i>
    <i r="1">
      <x v="10"/>
    </i>
    <i r="2">
      <x v="27"/>
    </i>
    <i r="2">
      <x v="28"/>
    </i>
    <i r="1">
      <x v="21"/>
    </i>
    <i r="2">
      <x v="72"/>
    </i>
    <i r="2">
      <x v="73"/>
    </i>
    <i>
      <x v="6"/>
    </i>
    <i r="1">
      <x/>
    </i>
    <i r="2">
      <x v="81"/>
    </i>
    <i r="2">
      <x v="101"/>
    </i>
    <i>
      <x v="7"/>
    </i>
    <i r="1">
      <x/>
    </i>
    <i r="2">
      <x v="36"/>
    </i>
    <i r="2">
      <x v="49"/>
    </i>
    <i r="2">
      <x v="74"/>
    </i>
    <i r="2">
      <x v="77"/>
    </i>
    <i r="2">
      <x v="82"/>
    </i>
    <i r="2">
      <x v="89"/>
    </i>
    <i r="2">
      <x v="100"/>
    </i>
    <i r="2">
      <x v="106"/>
    </i>
    <i>
      <x v="8"/>
    </i>
    <i r="1">
      <x v="13"/>
    </i>
    <i r="2">
      <x v="40"/>
    </i>
    <i r="2">
      <x v="41"/>
    </i>
    <i r="1">
      <x v="16"/>
    </i>
    <i r="2">
      <x v="52"/>
    </i>
    <i r="2">
      <x v="53"/>
    </i>
    <i r="2">
      <x v="51"/>
    </i>
    <i r="2">
      <x v="54"/>
    </i>
    <i r="1">
      <x v="19"/>
    </i>
    <i r="2">
      <x v="65"/>
    </i>
    <i r="2">
      <x v="66"/>
    </i>
    <i r="1">
      <x v="22"/>
    </i>
    <i r="2">
      <x v="78"/>
    </i>
    <i r="2">
      <x v="79"/>
    </i>
    <i>
      <x v="9"/>
    </i>
    <i r="1">
      <x/>
    </i>
    <i r="2">
      <x v="3"/>
    </i>
    <i r="2">
      <x v="45"/>
    </i>
    <i r="2">
      <x v="62"/>
    </i>
    <i r="2">
      <x v="76"/>
    </i>
    <i r="2">
      <x v="93"/>
    </i>
    <i r="2">
      <x v="96"/>
    </i>
    <i>
      <x v="10"/>
    </i>
    <i r="1">
      <x v="11"/>
    </i>
    <i r="2">
      <x v="33"/>
    </i>
    <i r="2">
      <x v="34"/>
    </i>
    <i r="2">
      <x v="32"/>
    </i>
    <i r="2">
      <x v="35"/>
    </i>
    <i r="1">
      <x v="17"/>
    </i>
    <i r="2">
      <x v="58"/>
    </i>
    <i r="2">
      <x v="59"/>
    </i>
    <i r="1">
      <x v="20"/>
    </i>
    <i r="2">
      <x v="67"/>
    </i>
    <i r="2">
      <x v="68"/>
    </i>
    <i r="1">
      <x v="23"/>
    </i>
    <i r="2">
      <x v="83"/>
    </i>
    <i r="2">
      <x v="84"/>
    </i>
    <i r="1">
      <x v="25"/>
    </i>
    <i r="2">
      <x v="91"/>
    </i>
    <i r="2">
      <x v="92"/>
    </i>
    <i r="1">
      <x v="26"/>
    </i>
    <i r="2">
      <x v="97"/>
    </i>
    <i r="2">
      <x v="98"/>
    </i>
    <i r="1">
      <x v="27"/>
    </i>
    <i r="2">
      <x v="104"/>
    </i>
    <i r="2">
      <x v="105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19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172013</v>
      </c>
      <c r="B6" s="5">
        <v>46120.991666666669</v>
      </c>
    </row>
    <row r="7" spans="1:2" x14ac:dyDescent="0.25">
      <c r="A7" s="3">
        <v>185663</v>
      </c>
      <c r="B7" s="5"/>
    </row>
    <row r="8" spans="1:2" x14ac:dyDescent="0.25">
      <c r="A8" s="4">
        <v>172300</v>
      </c>
      <c r="B8" s="5">
        <v>46119.787499999999</v>
      </c>
    </row>
    <row r="9" spans="1:2" x14ac:dyDescent="0.25">
      <c r="A9" s="4">
        <v>172305</v>
      </c>
      <c r="B9" s="5">
        <v>46119.787499999999</v>
      </c>
    </row>
    <row r="10" spans="1:2" x14ac:dyDescent="0.25">
      <c r="A10" s="2" t="s">
        <v>6</v>
      </c>
      <c r="B10" s="5"/>
    </row>
    <row r="11" spans="1:2" x14ac:dyDescent="0.25">
      <c r="A11" s="3">
        <v>0</v>
      </c>
      <c r="B11" s="5"/>
    </row>
    <row r="12" spans="1:2" x14ac:dyDescent="0.25">
      <c r="A12" s="4">
        <v>172226</v>
      </c>
      <c r="B12" s="5">
        <v>46119.533333333333</v>
      </c>
    </row>
    <row r="13" spans="1:2" x14ac:dyDescent="0.25">
      <c r="A13" s="4">
        <v>172227</v>
      </c>
      <c r="B13" s="5">
        <v>46119.623611111114</v>
      </c>
    </row>
    <row r="14" spans="1:2" x14ac:dyDescent="0.25">
      <c r="A14" s="4">
        <v>172228</v>
      </c>
      <c r="B14" s="5">
        <v>46119.713888888888</v>
      </c>
    </row>
    <row r="15" spans="1:2" x14ac:dyDescent="0.25">
      <c r="A15" s="4">
        <v>172274</v>
      </c>
      <c r="B15" s="5">
        <v>46119.804166666669</v>
      </c>
    </row>
    <row r="16" spans="1:2" x14ac:dyDescent="0.25">
      <c r="A16" s="4">
        <v>172222</v>
      </c>
      <c r="B16" s="5">
        <v>46119.894444444442</v>
      </c>
    </row>
    <row r="17" spans="1:2" x14ac:dyDescent="0.25">
      <c r="A17" s="4">
        <v>172281</v>
      </c>
      <c r="B17" s="5">
        <v>46119.954861111109</v>
      </c>
    </row>
    <row r="18" spans="1:2" x14ac:dyDescent="0.25">
      <c r="A18" s="4">
        <v>172312</v>
      </c>
      <c r="B18" s="5">
        <v>46120.105555555558</v>
      </c>
    </row>
    <row r="19" spans="1:2" x14ac:dyDescent="0.25">
      <c r="A19" s="4">
        <v>172313</v>
      </c>
      <c r="B19" s="5">
        <v>46120.243750000001</v>
      </c>
    </row>
    <row r="20" spans="1:2" x14ac:dyDescent="0.25">
      <c r="A20" s="4">
        <v>172315</v>
      </c>
      <c r="B20" s="5">
        <v>46120.381944444445</v>
      </c>
    </row>
    <row r="21" spans="1:2" x14ac:dyDescent="0.25">
      <c r="A21" s="4">
        <v>172319</v>
      </c>
      <c r="B21" s="5">
        <v>46120.546527777777</v>
      </c>
    </row>
    <row r="22" spans="1:2" x14ac:dyDescent="0.25">
      <c r="A22" s="4">
        <v>172316</v>
      </c>
      <c r="B22" s="5">
        <v>46120.668749999997</v>
      </c>
    </row>
    <row r="23" spans="1:2" x14ac:dyDescent="0.25">
      <c r="A23" s="4">
        <v>172321</v>
      </c>
      <c r="B23" s="5">
        <v>46120.794444444444</v>
      </c>
    </row>
    <row r="24" spans="1:2" x14ac:dyDescent="0.25">
      <c r="A24" s="4">
        <v>172023</v>
      </c>
      <c r="B24" s="5">
        <v>46121.143750000003</v>
      </c>
    </row>
    <row r="25" spans="1:2" x14ac:dyDescent="0.25">
      <c r="A25" s="3">
        <v>185658</v>
      </c>
      <c r="B25" s="5"/>
    </row>
    <row r="26" spans="1:2" x14ac:dyDescent="0.25">
      <c r="A26" s="4">
        <v>172290</v>
      </c>
      <c r="B26" s="5">
        <v>46120.015277777777</v>
      </c>
    </row>
    <row r="27" spans="1:2" x14ac:dyDescent="0.25">
      <c r="A27" s="4">
        <v>172294</v>
      </c>
      <c r="B27" s="5">
        <v>46120.015277777777</v>
      </c>
    </row>
    <row r="28" spans="1:2" x14ac:dyDescent="0.25">
      <c r="A28" s="2" t="s">
        <v>10</v>
      </c>
      <c r="B28" s="5"/>
    </row>
    <row r="29" spans="1:2" x14ac:dyDescent="0.25">
      <c r="A29" s="3">
        <v>0</v>
      </c>
      <c r="B29" s="5"/>
    </row>
    <row r="30" spans="1:2" x14ac:dyDescent="0.25">
      <c r="A30" s="4">
        <v>172323</v>
      </c>
      <c r="B30" s="5">
        <v>46119.615277777775</v>
      </c>
    </row>
    <row r="31" spans="1:2" x14ac:dyDescent="0.25">
      <c r="A31" s="4">
        <v>172327</v>
      </c>
      <c r="B31" s="5">
        <v>46120.111805555556</v>
      </c>
    </row>
    <row r="32" spans="1:2" x14ac:dyDescent="0.25">
      <c r="A32" s="4">
        <v>172318</v>
      </c>
      <c r="B32" s="5">
        <v>46120.355555555558</v>
      </c>
    </row>
    <row r="33" spans="1:2" x14ac:dyDescent="0.25">
      <c r="A33" s="4">
        <v>172324</v>
      </c>
      <c r="B33" s="5">
        <v>46120.652777777781</v>
      </c>
    </row>
    <row r="34" spans="1:2" x14ac:dyDescent="0.25">
      <c r="A34" s="4">
        <v>172558</v>
      </c>
      <c r="B34" s="5">
        <v>46120.967361111114</v>
      </c>
    </row>
    <row r="35" spans="1:2" x14ac:dyDescent="0.25">
      <c r="A35" s="2" t="s">
        <v>11</v>
      </c>
      <c r="B35" s="5"/>
    </row>
    <row r="36" spans="1:2" x14ac:dyDescent="0.25">
      <c r="A36" s="3">
        <v>0</v>
      </c>
      <c r="B36" s="5"/>
    </row>
    <row r="37" spans="1:2" x14ac:dyDescent="0.25">
      <c r="A37" s="4">
        <v>172320</v>
      </c>
      <c r="B37" s="5">
        <v>46119.9375</v>
      </c>
    </row>
    <row r="38" spans="1:2" x14ac:dyDescent="0.25">
      <c r="A38" s="4">
        <v>172523</v>
      </c>
      <c r="B38" s="5">
        <v>46120.213888888888</v>
      </c>
    </row>
    <row r="39" spans="1:2" x14ac:dyDescent="0.25">
      <c r="A39" s="3">
        <v>185670</v>
      </c>
      <c r="B39" s="5"/>
    </row>
    <row r="40" spans="1:2" x14ac:dyDescent="0.25">
      <c r="A40" s="4">
        <v>172338</v>
      </c>
      <c r="B40" s="5">
        <v>46119.661111111112</v>
      </c>
    </row>
    <row r="41" spans="1:2" x14ac:dyDescent="0.25">
      <c r="A41" s="4">
        <v>172346</v>
      </c>
      <c r="B41" s="5">
        <v>46119.661111111112</v>
      </c>
    </row>
    <row r="42" spans="1:2" x14ac:dyDescent="0.25">
      <c r="A42" s="2" t="s">
        <v>7</v>
      </c>
      <c r="B42" s="5"/>
    </row>
    <row r="43" spans="1:2" x14ac:dyDescent="0.25">
      <c r="A43" s="3">
        <v>0</v>
      </c>
      <c r="B43" s="5"/>
    </row>
    <row r="44" spans="1:2" x14ac:dyDescent="0.25">
      <c r="A44" s="4">
        <v>172322</v>
      </c>
      <c r="B44" s="5">
        <v>46119.848611111112</v>
      </c>
    </row>
    <row r="45" spans="1:2" x14ac:dyDescent="0.25">
      <c r="A45" s="4">
        <v>172325</v>
      </c>
      <c r="B45" s="5">
        <v>46120.118055555555</v>
      </c>
    </row>
    <row r="46" spans="1:2" x14ac:dyDescent="0.25">
      <c r="A46" s="3">
        <v>185668</v>
      </c>
      <c r="B46" s="5"/>
    </row>
    <row r="47" spans="1:2" x14ac:dyDescent="0.25">
      <c r="A47" s="4">
        <v>172348</v>
      </c>
      <c r="B47" s="5">
        <v>46120.387499999997</v>
      </c>
    </row>
    <row r="48" spans="1:2" x14ac:dyDescent="0.25">
      <c r="A48" s="4">
        <v>172340</v>
      </c>
      <c r="B48" s="5">
        <v>46120.387499999997</v>
      </c>
    </row>
    <row r="49" spans="1:2" x14ac:dyDescent="0.25">
      <c r="A49" s="2" t="s">
        <v>12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172526</v>
      </c>
      <c r="B51" s="5">
        <v>46119.866666666669</v>
      </c>
    </row>
    <row r="52" spans="1:2" x14ac:dyDescent="0.25">
      <c r="A52" s="3">
        <v>185691</v>
      </c>
      <c r="B52" s="5"/>
    </row>
    <row r="53" spans="1:2" x14ac:dyDescent="0.25">
      <c r="A53" s="4">
        <v>172426</v>
      </c>
      <c r="B53" s="5">
        <v>46119.498611111114</v>
      </c>
    </row>
    <row r="54" spans="1:2" x14ac:dyDescent="0.25">
      <c r="A54" s="4">
        <v>172425</v>
      </c>
      <c r="B54" s="5">
        <v>46119.498611111114</v>
      </c>
    </row>
    <row r="55" spans="1:2" x14ac:dyDescent="0.25">
      <c r="A55" s="3">
        <v>185690</v>
      </c>
      <c r="B55" s="5"/>
    </row>
    <row r="56" spans="1:2" x14ac:dyDescent="0.25">
      <c r="A56" s="4">
        <v>172424</v>
      </c>
      <c r="B56" s="5">
        <v>46120.118055555555</v>
      </c>
    </row>
    <row r="57" spans="1:2" x14ac:dyDescent="0.25">
      <c r="A57" s="4">
        <v>172423</v>
      </c>
      <c r="B57" s="5">
        <v>46120.118055555555</v>
      </c>
    </row>
    <row r="58" spans="1:2" x14ac:dyDescent="0.25">
      <c r="A58" s="2" t="s">
        <v>13</v>
      </c>
      <c r="B58" s="5"/>
    </row>
    <row r="59" spans="1:2" x14ac:dyDescent="0.25">
      <c r="A59" s="3">
        <v>0</v>
      </c>
      <c r="B59" s="5"/>
    </row>
    <row r="60" spans="1:2" x14ac:dyDescent="0.25">
      <c r="A60" s="4">
        <v>172936</v>
      </c>
      <c r="B60" s="5">
        <v>46120.250694444447</v>
      </c>
    </row>
    <row r="61" spans="1:2" x14ac:dyDescent="0.25">
      <c r="A61" s="4">
        <v>172572</v>
      </c>
      <c r="B61" s="5">
        <v>46120.930555555555</v>
      </c>
    </row>
    <row r="62" spans="1:2" x14ac:dyDescent="0.25">
      <c r="A62" s="2" t="s">
        <v>15</v>
      </c>
      <c r="B62" s="5"/>
    </row>
    <row r="63" spans="1:2" x14ac:dyDescent="0.25">
      <c r="A63" s="3">
        <v>0</v>
      </c>
      <c r="B63" s="5"/>
    </row>
    <row r="64" spans="1:2" x14ac:dyDescent="0.25">
      <c r="A64" s="4">
        <v>172556</v>
      </c>
      <c r="B64" s="5">
        <v>46119.544444444444</v>
      </c>
    </row>
    <row r="65" spans="1:2" x14ac:dyDescent="0.25">
      <c r="A65" s="4">
        <v>172754</v>
      </c>
      <c r="B65" s="5">
        <v>46119.796527777777</v>
      </c>
    </row>
    <row r="66" spans="1:2" x14ac:dyDescent="0.25">
      <c r="A66" s="4">
        <v>172569</v>
      </c>
      <c r="B66" s="5">
        <v>46120.17083333333</v>
      </c>
    </row>
    <row r="67" spans="1:2" x14ac:dyDescent="0.25">
      <c r="A67" s="4">
        <v>172570</v>
      </c>
      <c r="B67" s="5">
        <v>46120.229166666664</v>
      </c>
    </row>
    <row r="68" spans="1:2" x14ac:dyDescent="0.25">
      <c r="A68" s="4">
        <v>172571</v>
      </c>
      <c r="B68" s="5">
        <v>46120.287499999999</v>
      </c>
    </row>
    <row r="69" spans="1:2" x14ac:dyDescent="0.25">
      <c r="A69" s="4">
        <v>172888</v>
      </c>
      <c r="B69" s="5">
        <v>46120.472222222219</v>
      </c>
    </row>
    <row r="70" spans="1:2" x14ac:dyDescent="0.25">
      <c r="A70" s="4">
        <v>172753</v>
      </c>
      <c r="B70" s="5">
        <v>46120.856249999997</v>
      </c>
    </row>
    <row r="71" spans="1:2" x14ac:dyDescent="0.25">
      <c r="A71" s="4">
        <v>172751</v>
      </c>
      <c r="B71" s="5">
        <v>46121.044444444444</v>
      </c>
    </row>
    <row r="72" spans="1:2" x14ac:dyDescent="0.25">
      <c r="A72" s="2" t="s">
        <v>8</v>
      </c>
      <c r="B72" s="5"/>
    </row>
    <row r="73" spans="1:2" x14ac:dyDescent="0.25">
      <c r="A73" s="3">
        <v>185730</v>
      </c>
      <c r="B73" s="5"/>
    </row>
    <row r="74" spans="1:2" x14ac:dyDescent="0.25">
      <c r="A74" s="4">
        <v>172012</v>
      </c>
      <c r="B74" s="5">
        <v>46119.622916666667</v>
      </c>
    </row>
    <row r="75" spans="1:2" x14ac:dyDescent="0.25">
      <c r="A75" s="4">
        <v>172011</v>
      </c>
      <c r="B75" s="5">
        <v>46119.622916666667</v>
      </c>
    </row>
    <row r="76" spans="1:2" x14ac:dyDescent="0.25">
      <c r="A76" s="3">
        <v>185660</v>
      </c>
      <c r="B76" s="5"/>
    </row>
    <row r="77" spans="1:2" x14ac:dyDescent="0.25">
      <c r="A77" s="4">
        <v>172295</v>
      </c>
      <c r="B77" s="5">
        <v>46119.81527777778</v>
      </c>
    </row>
    <row r="78" spans="1:2" x14ac:dyDescent="0.25">
      <c r="A78" s="4">
        <v>172291</v>
      </c>
      <c r="B78" s="5">
        <v>46119.81527777778</v>
      </c>
    </row>
    <row r="79" spans="1:2" x14ac:dyDescent="0.25">
      <c r="A79" s="4">
        <v>172292</v>
      </c>
      <c r="B79" s="5">
        <v>46119.81527777778</v>
      </c>
    </row>
    <row r="80" spans="1:2" x14ac:dyDescent="0.25">
      <c r="A80" s="4">
        <v>172296</v>
      </c>
      <c r="B80" s="5">
        <v>46119.81527777778</v>
      </c>
    </row>
    <row r="81" spans="1:2" x14ac:dyDescent="0.25">
      <c r="A81" s="3">
        <v>185789</v>
      </c>
      <c r="B81" s="5"/>
    </row>
    <row r="82" spans="1:2" x14ac:dyDescent="0.25">
      <c r="A82" s="4">
        <v>171794</v>
      </c>
      <c r="B82" s="5">
        <v>46120.03402777778</v>
      </c>
    </row>
    <row r="83" spans="1:2" x14ac:dyDescent="0.25">
      <c r="A83" s="4">
        <v>171793</v>
      </c>
      <c r="B83" s="5">
        <v>46120.03402777778</v>
      </c>
    </row>
    <row r="84" spans="1:2" x14ac:dyDescent="0.25">
      <c r="A84" s="3">
        <v>185786</v>
      </c>
      <c r="B84" s="5"/>
    </row>
    <row r="85" spans="1:2" x14ac:dyDescent="0.25">
      <c r="A85" s="4">
        <v>171795</v>
      </c>
      <c r="B85" s="5">
        <v>46120.232638888891</v>
      </c>
    </row>
    <row r="86" spans="1:2" x14ac:dyDescent="0.25">
      <c r="A86" s="4">
        <v>171796</v>
      </c>
      <c r="B86" s="5">
        <v>46120.232638888891</v>
      </c>
    </row>
    <row r="87" spans="1:2" x14ac:dyDescent="0.25">
      <c r="A87" s="2" t="s">
        <v>9</v>
      </c>
      <c r="B87" s="5"/>
    </row>
    <row r="88" spans="1:2" x14ac:dyDescent="0.25">
      <c r="A88" s="3">
        <v>0</v>
      </c>
      <c r="B88" s="5"/>
    </row>
    <row r="89" spans="1:2" x14ac:dyDescent="0.25">
      <c r="A89" s="4">
        <v>172220</v>
      </c>
      <c r="B89" s="5">
        <v>46119.549305555556</v>
      </c>
    </row>
    <row r="90" spans="1:2" x14ac:dyDescent="0.25">
      <c r="A90" s="4">
        <v>172217</v>
      </c>
      <c r="B90" s="5">
        <v>46119.68472222222</v>
      </c>
    </row>
    <row r="91" spans="1:2" x14ac:dyDescent="0.25">
      <c r="A91" s="4">
        <v>172215</v>
      </c>
      <c r="B91" s="5">
        <v>46119.956944444442</v>
      </c>
    </row>
    <row r="92" spans="1:2" x14ac:dyDescent="0.25">
      <c r="A92" s="4">
        <v>172848</v>
      </c>
      <c r="B92" s="5">
        <v>46120.228472222225</v>
      </c>
    </row>
    <row r="93" spans="1:2" x14ac:dyDescent="0.25">
      <c r="A93" s="4">
        <v>171983</v>
      </c>
      <c r="B93" s="5">
        <v>46120.626388888886</v>
      </c>
    </row>
    <row r="94" spans="1:2" x14ac:dyDescent="0.25">
      <c r="A94" s="4">
        <v>171984</v>
      </c>
      <c r="B94" s="5">
        <v>46120.722916666666</v>
      </c>
    </row>
    <row r="95" spans="1:2" x14ac:dyDescent="0.25">
      <c r="A95" s="2" t="s">
        <v>14</v>
      </c>
      <c r="B95" s="5"/>
    </row>
    <row r="96" spans="1:2" x14ac:dyDescent="0.25">
      <c r="A96" s="3">
        <v>185666</v>
      </c>
      <c r="B96" s="5"/>
    </row>
    <row r="97" spans="1:2" x14ac:dyDescent="0.25">
      <c r="A97" s="4">
        <v>172306</v>
      </c>
      <c r="B97" s="5">
        <v>46119.534722222219</v>
      </c>
    </row>
    <row r="98" spans="1:2" x14ac:dyDescent="0.25">
      <c r="A98" s="4">
        <v>172302</v>
      </c>
      <c r="B98" s="5">
        <v>46119.534722222219</v>
      </c>
    </row>
    <row r="99" spans="1:2" x14ac:dyDescent="0.25">
      <c r="A99" s="4">
        <v>172307</v>
      </c>
      <c r="B99" s="5">
        <v>46119.534722222219</v>
      </c>
    </row>
    <row r="100" spans="1:2" x14ac:dyDescent="0.25">
      <c r="A100" s="4">
        <v>172301</v>
      </c>
      <c r="B100" s="5">
        <v>46119.534722222219</v>
      </c>
    </row>
    <row r="101" spans="1:2" x14ac:dyDescent="0.25">
      <c r="A101" s="3">
        <v>185741</v>
      </c>
      <c r="B101" s="5"/>
    </row>
    <row r="102" spans="1:2" x14ac:dyDescent="0.25">
      <c r="A102" s="4">
        <v>172284</v>
      </c>
      <c r="B102" s="5">
        <v>46119.909722222219</v>
      </c>
    </row>
    <row r="103" spans="1:2" x14ac:dyDescent="0.25">
      <c r="A103" s="4">
        <v>172283</v>
      </c>
      <c r="B103" s="5">
        <v>46119.909722222219</v>
      </c>
    </row>
    <row r="104" spans="1:2" x14ac:dyDescent="0.25">
      <c r="A104" s="3">
        <v>185734</v>
      </c>
      <c r="B104" s="5"/>
    </row>
    <row r="105" spans="1:2" x14ac:dyDescent="0.25">
      <c r="A105" s="4">
        <v>172285</v>
      </c>
      <c r="B105" s="5">
        <v>46120.104861111111</v>
      </c>
    </row>
    <row r="106" spans="1:2" x14ac:dyDescent="0.25">
      <c r="A106" s="4">
        <v>172286</v>
      </c>
      <c r="B106" s="5">
        <v>46120.104861111111</v>
      </c>
    </row>
    <row r="107" spans="1:2" x14ac:dyDescent="0.25">
      <c r="A107" s="3">
        <v>185787</v>
      </c>
      <c r="B107" s="5"/>
    </row>
    <row r="108" spans="1:2" x14ac:dyDescent="0.25">
      <c r="A108" s="4">
        <v>171902</v>
      </c>
      <c r="B108" s="5">
        <v>46120.331944444442</v>
      </c>
    </row>
    <row r="109" spans="1:2" x14ac:dyDescent="0.25">
      <c r="A109" s="4">
        <v>171903</v>
      </c>
      <c r="B109" s="5">
        <v>46120.331944444442</v>
      </c>
    </row>
    <row r="110" spans="1:2" x14ac:dyDescent="0.25">
      <c r="A110" s="3">
        <v>185801</v>
      </c>
      <c r="B110" s="5"/>
    </row>
    <row r="111" spans="1:2" x14ac:dyDescent="0.25">
      <c r="A111" s="4">
        <v>171901</v>
      </c>
      <c r="B111" s="5">
        <v>46120.559027777781</v>
      </c>
    </row>
    <row r="112" spans="1:2" x14ac:dyDescent="0.25">
      <c r="A112" s="4">
        <v>171900</v>
      </c>
      <c r="B112" s="5">
        <v>46120.559027777781</v>
      </c>
    </row>
    <row r="113" spans="1:2" x14ac:dyDescent="0.25">
      <c r="A113" s="3">
        <v>185804</v>
      </c>
      <c r="B113" s="5"/>
    </row>
    <row r="114" spans="1:2" x14ac:dyDescent="0.25">
      <c r="A114" s="4">
        <v>171895</v>
      </c>
      <c r="B114" s="5">
        <v>46120.786111111112</v>
      </c>
    </row>
    <row r="115" spans="1:2" x14ac:dyDescent="0.25">
      <c r="A115" s="4">
        <v>171894</v>
      </c>
      <c r="B115" s="5">
        <v>46120.786111111112</v>
      </c>
    </row>
    <row r="116" spans="1:2" x14ac:dyDescent="0.25">
      <c r="A116" s="3">
        <v>185803</v>
      </c>
      <c r="B116" s="5"/>
    </row>
    <row r="117" spans="1:2" x14ac:dyDescent="0.25">
      <c r="A117" s="4">
        <v>171896</v>
      </c>
      <c r="B117" s="5">
        <v>46120.99722222222</v>
      </c>
    </row>
    <row r="118" spans="1:2" x14ac:dyDescent="0.25">
      <c r="A118" s="4">
        <v>171897</v>
      </c>
      <c r="B118" s="5">
        <v>46120.99722222222</v>
      </c>
    </row>
    <row r="119" spans="1:2" x14ac:dyDescent="0.25">
      <c r="A119" s="2" t="s">
        <v>1</v>
      </c>
      <c r="B119" s="5">
        <v>46119.498611111114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2026-04-07T19:39:38Z</dcterms:modified>
</cp:coreProperties>
</file>