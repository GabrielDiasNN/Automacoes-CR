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Emitidas\"/>
    </mc:Choice>
  </mc:AlternateContent>
  <xr:revisionPtr revIDLastSave="0" documentId="13_ncr:1_{9A1B04B9-780C-4225-A9BF-E3B5FB353C7F}" xr6:coauthVersionLast="47" xr6:coauthVersionMax="47" xr10:uidLastSave="{00000000-0000-0000-0000-000000000000}"/>
  <bookViews>
    <workbookView xWindow="2340" yWindow="2340" windowWidth="21600" windowHeight="11385" activeTab="1" xr2:uid="{E36E89AB-B6B3-4723-B386-2AC7DD1FA543}"/>
  </bookViews>
  <sheets>
    <sheet name="Config" sheetId="6" r:id="rId1"/>
    <sheet name="ControleReceitasEmitidas" sheetId="5" r:id="rId2"/>
  </sheets>
  <calcPr calcId="191029" iterate="1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42E38E-0E6A-4A21-B4DC-850A04C6ADA0}" keepAlive="1" name="Consulta - ControleReceitasEmitidas" description="Conexão com a consulta 'ControleReceitasEmitidas' na pasta de trabalho." type="5" refreshedVersion="7" saveData="1">
    <dbPr connection="Provider=Microsoft.Mashup.OleDb.1;Data Source=$Workbook$;Location=ControleReceitasEmitidas;Extended Properties=&quot;&quot;" command="SELECT * FROM [ControleReceitasEmitidas]"/>
  </connection>
</connections>
</file>

<file path=xl/sharedStrings.xml><?xml version="1.0" encoding="utf-8"?>
<sst xmlns="http://schemas.openxmlformats.org/spreadsheetml/2006/main" count="19" uniqueCount="19">
  <si>
    <t>PESADA</t>
  </si>
  <si>
    <t>Total Geral</t>
  </si>
  <si>
    <t>NÃO</t>
  </si>
  <si>
    <t>MQ01</t>
  </si>
  <si>
    <t>Máq./Grupo/Nº OB</t>
  </si>
  <si>
    <t>Início do Tingimento</t>
  </si>
  <si>
    <t>MQ02</t>
  </si>
  <si>
    <t>MQ05</t>
  </si>
  <si>
    <t>MQ09</t>
  </si>
  <si>
    <t>MQ10</t>
  </si>
  <si>
    <t>MQ03</t>
  </si>
  <si>
    <t>MQ04</t>
  </si>
  <si>
    <t>MQ06</t>
  </si>
  <si>
    <t>MQ07</t>
  </si>
  <si>
    <t>MQ11</t>
  </si>
  <si>
    <t>MQ08</t>
  </si>
  <si>
    <t>Para</t>
  </si>
  <si>
    <t>Cópia</t>
  </si>
  <si>
    <t>acacio.klann@costaricamalhas.ind.br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</si>
</sst>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22" fontId="0" fillId="0" borderId="0" xfId="0" applyNumberFormat="1"/>
    <xf numFmtId="0" fontId="0" fillId="0" borderId="2" xfId="0" applyBorder="1"/>
    <xf numFmtId="0" fontId="1" fillId="0" borderId="1" xfId="1" applyBorder="1"/>
  </cellXfs>
  <cellStyles count="2">
    <cellStyle name="Hi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Dias Nunes Neto" refreshedDate="46115.295448958335" missingItemsLimit="0" createdVersion="7" refreshedVersion="7" minRefreshableVersion="3" recordCount="104" xr:uid="{088AC9E7-39B8-4A43-B54B-DF415EDABC53}">
  <cacheSource type="external" connectionId="1"/>
  <cacheFields count="15">
    <cacheField name="GRUPO" numFmtId="0">
      <sharedItems containsSemiMixedTypes="0" containsString="0" containsNumber="1" containsInteger="1" minValue="0" maxValue="185788" count="20">
        <n v="185706"/>
        <n v="0"/>
        <n v="185655"/>
        <n v="185788"/>
        <n v="185705"/>
        <n v="185704"/>
        <n v="185659"/>
        <n v="185708"/>
        <n v="185686"/>
        <n v="185732"/>
        <n v="185713"/>
        <n v="185740"/>
        <n v="185651"/>
        <n v="185721"/>
        <n v="185729"/>
        <n v="185654"/>
        <n v="185656"/>
        <n v="185728"/>
        <n v="185727"/>
        <n v="185608"/>
      </sharedItems>
    </cacheField>
    <cacheField name="NUMERO_OB" numFmtId="0">
      <sharedItems containsSemiMixedTypes="0" containsString="0" containsNumber="1" containsInteger="1" minValue="171733" maxValue="172968" count="104">
        <n v="172194"/>
        <n v="172193"/>
        <n v="171960"/>
        <n v="172279"/>
        <n v="172191"/>
        <n v="172276"/>
        <n v="172192"/>
        <n v="172904"/>
        <n v="172331"/>
        <n v="171950"/>
        <n v="172253"/>
        <n v="171935"/>
        <n v="172018"/>
        <n v="171740"/>
        <n v="172196"/>
        <n v="172195"/>
        <n v="171936"/>
        <n v="172330"/>
        <n v="172332"/>
        <n v="171977"/>
        <n v="171966"/>
        <n v="171967"/>
        <n v="172905"/>
        <n v="171937"/>
        <n v="172229"/>
        <n v="172293"/>
        <n v="172289"/>
        <n v="172050"/>
        <n v="171733"/>
        <n v="172923"/>
        <n v="171938"/>
        <n v="171974"/>
        <n v="171975"/>
        <n v="172388"/>
        <n v="172411"/>
        <n v="172164"/>
        <n v="172883"/>
        <n v="172159"/>
        <n v="172090"/>
        <n v="172964"/>
        <n v="171939"/>
        <n v="172906"/>
        <n v="172210"/>
        <n v="172965"/>
        <n v="172596"/>
        <n v="172595"/>
        <n v="172966"/>
        <n v="172211"/>
        <n v="171972"/>
        <n v="172435"/>
        <n v="172436"/>
        <n v="172223"/>
        <n v="172049"/>
        <n v="171734"/>
        <n v="172924"/>
        <n v="172947"/>
        <n v="172907"/>
        <n v="171735"/>
        <n v="172967"/>
        <n v="172244"/>
        <n v="172901"/>
        <n v="171995"/>
        <n v="172908"/>
        <n v="172267"/>
        <n v="172221"/>
        <n v="172278"/>
        <n v="172239"/>
        <n v="172275"/>
        <n v="172232"/>
        <n v="172214"/>
        <n v="172968"/>
        <n v="171948"/>
        <n v="172672"/>
        <n v="172673"/>
        <n v="172868"/>
        <n v="172212"/>
        <n v="172902"/>
        <n v="172894"/>
        <n v="172266"/>
        <n v="172218"/>
        <n v="172259"/>
        <n v="172258"/>
        <n v="172235"/>
        <n v="172242"/>
        <n v="172246"/>
        <n v="172277"/>
        <n v="172280"/>
        <n v="172207"/>
        <n v="172216"/>
        <n v="172051"/>
        <n v="172261"/>
        <n v="172260"/>
        <n v="172208"/>
        <n v="172886"/>
        <n v="172219"/>
        <n v="172052"/>
        <n v="172590"/>
        <n v="172589"/>
        <n v="172220"/>
        <n v="172224"/>
        <n v="172887"/>
        <n v="171741"/>
        <n v="171819"/>
        <n v="171818"/>
      </sharedItems>
    </cacheField>
    <cacheField name="PESADA" numFmtId="0">
      <sharedItems count="2">
        <s v="SIM"/>
        <s v="NÃO"/>
      </sharedItems>
    </cacheField>
    <cacheField name="MQ_TING" numFmtId="0">
      <sharedItems count="11">
        <s v="MQ11"/>
        <s v="MQ01"/>
        <s v="MQ06"/>
        <s v="MQ09"/>
        <s v="MQ05"/>
        <s v="MQ04"/>
        <s v="MQ03"/>
        <s v="MQ08"/>
        <s v="MQ02"/>
        <s v="MQ10"/>
        <s v="MQ07"/>
      </sharedItems>
    </cacheField>
    <cacheField name="INICIO_TING" numFmtId="0">
      <sharedItems containsSemiMixedTypes="0" containsNonDate="0" containsDate="1" containsString="0" minDate="2026-04-03T01:41:00" maxDate="2026-04-08T07:53:00"/>
    </cacheField>
    <cacheField name="FINAL_TING" numFmtId="0">
      <sharedItems containsSemiMixedTypes="0" containsNonDate="0" containsDate="1" containsString="0" minDate="2026-04-03T07:27:00" maxDate="2026-04-08T14:12:00"/>
    </cacheField>
    <cacheField name="ARTIGO" numFmtId="0">
      <sharedItems count="17">
        <s v="00189     "/>
        <s v="00032     "/>
        <s v="00010     "/>
        <s v="00149     "/>
        <s v="00024     "/>
        <s v="00178     "/>
        <s v="00012     "/>
        <s v="00042     "/>
        <s v="00184     "/>
        <s v="00056     "/>
        <s v="00142     "/>
        <s v="00018     "/>
        <s v="00146     "/>
        <s v="00432     "/>
        <s v="00022     "/>
        <s v="00014     "/>
        <s v="00016     "/>
      </sharedItems>
    </cacheField>
    <cacheField name="REDUZIDO" numFmtId="0">
      <sharedItems containsSemiMixedTypes="0" containsString="0" containsNumber="1" containsInteger="1" minValue="25" maxValue="22997"/>
    </cacheField>
    <cacheField name="DESCRICAO" numFmtId="0">
      <sharedItems/>
    </cacheField>
    <cacheField name="FASE_ATUAL" numFmtId="0">
      <sharedItems count="2">
        <s v="TIN-TINGIMENTO"/>
        <s v="RMC-REVISÃO MALHA CRUA"/>
      </sharedItems>
    </cacheField>
    <cacheField name="STATUS_FASE" numFmtId="0">
      <sharedItems count="4">
        <s v="EM EXECUÇÃO"/>
        <s v="PESADA"/>
        <s v="EMITIDA"/>
        <s v="PROGRAMADA"/>
      </sharedItems>
    </cacheField>
    <cacheField name="USUARIO" numFmtId="0">
      <sharedItems containsBlank="1" count="4">
        <s v="GLEVID AVISAI  CEDEÑO  MOLINA"/>
        <s v="PETERSON ALEXANDRE FELIZARDO"/>
        <m/>
        <s v="FABIO DOS SANTOS MACIEL"/>
      </sharedItems>
    </cacheField>
    <cacheField name="HORARIO_PESADO" numFmtId="0">
      <sharedItems containsNonDate="0" containsDate="1" containsString="0" containsBlank="1" minDate="2026-04-01T07:22:06" maxDate="2026-04-03T07:01:54" count="23">
        <d v="2026-04-02T15:22:55"/>
        <d v="2026-04-02T14:01:54"/>
        <d v="2026-04-02T23:40:53"/>
        <d v="2026-04-02T23:04:26"/>
        <d v="2026-04-02T14:11:13"/>
        <d v="2026-04-02T22:49:32"/>
        <d v="2026-04-02T23:25:22"/>
        <d v="2026-04-02T22:45:58"/>
        <m/>
        <d v="2026-04-03T00:28:32"/>
        <d v="2026-04-01T07:22:06"/>
        <d v="2026-04-02T23:33:27"/>
        <d v="2026-04-02T22:42:59"/>
        <d v="2026-04-03T00:07:50"/>
        <d v="2026-04-03T02:57:28"/>
        <d v="2026-04-02T23:46:49"/>
        <d v="2026-04-02T23:18:06"/>
        <d v="2026-04-03T06:53:23"/>
        <d v="2026-04-03T07:01:54"/>
        <d v="2026-04-03T00:18:36"/>
        <d v="2026-04-02T15:14:54"/>
        <d v="2026-04-01T19:30:31"/>
        <d v="2026-04-02T01:30:39"/>
      </sharedItems>
    </cacheField>
    <cacheField name="DIAS_PESADO" numFmtId="0">
      <sharedItems containsString="0" containsBlank="1" containsNumber="1" minValue="0" maxValue="1.99" count="19">
        <n v="0.65"/>
        <n v="0.71"/>
        <n v="0.31"/>
        <n v="0.33"/>
        <n v="0.7"/>
        <n v="0.34"/>
        <n v="0.32"/>
        <n v="0.35"/>
        <m/>
        <n v="0.28000000000000003"/>
        <n v="1.99"/>
        <n v="0.28999999999999998"/>
        <n v="0.17"/>
        <n v="0.3"/>
        <n v="0.01"/>
        <n v="0"/>
        <n v="0.66"/>
        <n v="1.48"/>
        <n v="1.23"/>
      </sharedItems>
    </cacheField>
    <cacheField name="QUANT_PESADA" numFmtId="0">
      <sharedItems containsSemiMixedTypes="0" containsString="0" containsNumber="1" minValue="0" maxValue="158.63" count="23">
        <n v="34.225999999999999"/>
        <n v="29.427"/>
        <n v="13.169"/>
        <n v="61.52966"/>
        <n v="11.321"/>
        <n v="0.41349999999999998"/>
        <n v="18.440000000000001"/>
        <n v="0.27986"/>
        <n v="0"/>
        <n v="14.6188"/>
        <n v="16.973669999999998"/>
        <n v="33.987000000000002"/>
        <n v="7.9890000000000003E-2"/>
        <n v="29.49"/>
        <n v="158.63"/>
        <n v="11.868"/>
        <n v="37.65"/>
        <n v="25.384"/>
        <n v="27.888000000000002"/>
        <n v="29.279"/>
        <n v="26.62332"/>
        <n v="17.297139999999999"/>
        <n v="23.7694900000000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4">
  <r>
    <x v="0"/>
    <x v="0"/>
    <x v="0"/>
    <x v="0"/>
    <d v="2026-04-03T01:41:00"/>
    <d v="2026-04-03T07:27:00"/>
    <x v="0"/>
    <n v="12250"/>
    <s v="VISCOLYCRA VORTEX VINHO"/>
    <x v="0"/>
    <x v="0"/>
    <x v="0"/>
    <x v="0"/>
    <x v="0"/>
    <x v="0"/>
  </r>
  <r>
    <x v="0"/>
    <x v="1"/>
    <x v="0"/>
    <x v="0"/>
    <d v="2026-04-03T01:41:00"/>
    <d v="2026-04-03T07:27:00"/>
    <x v="0"/>
    <n v="12250"/>
    <s v="VISCOLYCRA VORTEX VINHO"/>
    <x v="0"/>
    <x v="0"/>
    <x v="0"/>
    <x v="0"/>
    <x v="0"/>
    <x v="0"/>
  </r>
  <r>
    <x v="1"/>
    <x v="2"/>
    <x v="0"/>
    <x v="1"/>
    <d v="2026-04-03T03:24:00"/>
    <d v="2026-04-03T09:35:00"/>
    <x v="1"/>
    <n v="1492"/>
    <s v="M/M 30/1 PENTEADO MARROM"/>
    <x v="0"/>
    <x v="0"/>
    <x v="0"/>
    <x v="1"/>
    <x v="1"/>
    <x v="1"/>
  </r>
  <r>
    <x v="2"/>
    <x v="3"/>
    <x v="0"/>
    <x v="2"/>
    <d v="2026-04-03T04:15:00"/>
    <d v="2026-04-03T10:26:00"/>
    <x v="2"/>
    <n v="10402"/>
    <s v="RIBANA 30/1 OE VINHO"/>
    <x v="0"/>
    <x v="0"/>
    <x v="1"/>
    <x v="2"/>
    <x v="2"/>
    <x v="2"/>
  </r>
  <r>
    <x v="3"/>
    <x v="4"/>
    <x v="0"/>
    <x v="3"/>
    <d v="2026-04-03T04:15:00"/>
    <d v="2026-04-03T10:01:00"/>
    <x v="0"/>
    <n v="12247"/>
    <s v="VISCOLYCRA VORTEX MARINHO"/>
    <x v="0"/>
    <x v="0"/>
    <x v="1"/>
    <x v="3"/>
    <x v="3"/>
    <x v="3"/>
  </r>
  <r>
    <x v="2"/>
    <x v="5"/>
    <x v="0"/>
    <x v="2"/>
    <d v="2026-04-03T04:15:00"/>
    <d v="2026-04-03T10:26:00"/>
    <x v="1"/>
    <n v="1472"/>
    <s v="M/M 30/1 PENTEADO VINHO"/>
    <x v="0"/>
    <x v="0"/>
    <x v="1"/>
    <x v="2"/>
    <x v="2"/>
    <x v="2"/>
  </r>
  <r>
    <x v="3"/>
    <x v="6"/>
    <x v="0"/>
    <x v="3"/>
    <d v="2026-04-03T04:15:00"/>
    <d v="2026-04-03T10:01:00"/>
    <x v="0"/>
    <n v="12247"/>
    <s v="VISCOLYCRA VORTEX MARINHO"/>
    <x v="0"/>
    <x v="0"/>
    <x v="1"/>
    <x v="3"/>
    <x v="3"/>
    <x v="3"/>
  </r>
  <r>
    <x v="1"/>
    <x v="7"/>
    <x v="0"/>
    <x v="4"/>
    <d v="2026-04-03T04:39:00"/>
    <d v="2026-04-03T10:05:00"/>
    <x v="0"/>
    <n v="17151"/>
    <s v="VISCOLYCRA VORTEX MARROM"/>
    <x v="0"/>
    <x v="0"/>
    <x v="0"/>
    <x v="4"/>
    <x v="4"/>
    <x v="4"/>
  </r>
  <r>
    <x v="1"/>
    <x v="8"/>
    <x v="0"/>
    <x v="5"/>
    <d v="2026-04-03T05:23:00"/>
    <d v="2026-04-03T08:28:00"/>
    <x v="3"/>
    <n v="371"/>
    <s v="HELANCA SUEDINE 100%CO AMARELO BEBÊ"/>
    <x v="0"/>
    <x v="0"/>
    <x v="1"/>
    <x v="5"/>
    <x v="5"/>
    <x v="5"/>
  </r>
  <r>
    <x v="1"/>
    <x v="9"/>
    <x v="0"/>
    <x v="6"/>
    <d v="2026-04-03T05:33:00"/>
    <d v="2026-04-03T11:33:00"/>
    <x v="1"/>
    <n v="1412"/>
    <s v="M/M 30/1 PENTEADO AMARELO CANÁRIO"/>
    <x v="0"/>
    <x v="0"/>
    <x v="1"/>
    <x v="6"/>
    <x v="6"/>
    <x v="6"/>
  </r>
  <r>
    <x v="1"/>
    <x v="10"/>
    <x v="0"/>
    <x v="7"/>
    <d v="2026-04-03T05:39:00"/>
    <d v="2026-04-03T08:44:00"/>
    <x v="4"/>
    <n v="459"/>
    <s v="M/M 24/1 18 TRAMAS AZUL BEBÊ"/>
    <x v="0"/>
    <x v="0"/>
    <x v="1"/>
    <x v="7"/>
    <x v="7"/>
    <x v="7"/>
  </r>
  <r>
    <x v="1"/>
    <x v="11"/>
    <x v="1"/>
    <x v="8"/>
    <d v="2026-04-03T05:54:00"/>
    <d v="2026-04-03T08:13:00"/>
    <x v="1"/>
    <n v="258"/>
    <s v="M/M 30/1 PENTEADO MARFIM"/>
    <x v="0"/>
    <x v="0"/>
    <x v="2"/>
    <x v="8"/>
    <x v="8"/>
    <x v="8"/>
  </r>
  <r>
    <x v="1"/>
    <x v="12"/>
    <x v="0"/>
    <x v="9"/>
    <d v="2026-04-03T06:27:00"/>
    <d v="2026-04-03T11:27:00"/>
    <x v="5"/>
    <n v="1110"/>
    <s v="SUPLEX ESPECIAL ROYAL"/>
    <x v="0"/>
    <x v="0"/>
    <x v="1"/>
    <x v="9"/>
    <x v="9"/>
    <x v="9"/>
  </r>
  <r>
    <x v="1"/>
    <x v="13"/>
    <x v="0"/>
    <x v="10"/>
    <d v="2026-04-03T07:00:00"/>
    <d v="2026-04-03T13:08:00"/>
    <x v="6"/>
    <n v="12129"/>
    <s v="RIBANA 30/1 PV MARINHO"/>
    <x v="0"/>
    <x v="1"/>
    <x v="3"/>
    <x v="10"/>
    <x v="10"/>
    <x v="10"/>
  </r>
  <r>
    <x v="4"/>
    <x v="14"/>
    <x v="0"/>
    <x v="0"/>
    <d v="2026-04-03T07:28:00"/>
    <d v="2026-04-03T12:54:00"/>
    <x v="0"/>
    <n v="12250"/>
    <s v="VISCOLYCRA VORTEX VINHO"/>
    <x v="0"/>
    <x v="1"/>
    <x v="1"/>
    <x v="11"/>
    <x v="2"/>
    <x v="11"/>
  </r>
  <r>
    <x v="4"/>
    <x v="15"/>
    <x v="0"/>
    <x v="0"/>
    <d v="2026-04-03T07:28:00"/>
    <d v="2026-04-03T12:54:00"/>
    <x v="0"/>
    <n v="12250"/>
    <s v="VISCOLYCRA VORTEX VINHO"/>
    <x v="0"/>
    <x v="1"/>
    <x v="1"/>
    <x v="11"/>
    <x v="2"/>
    <x v="11"/>
  </r>
  <r>
    <x v="1"/>
    <x v="16"/>
    <x v="1"/>
    <x v="8"/>
    <d v="2026-04-03T08:14:00"/>
    <d v="2026-04-03T10:23:00"/>
    <x v="1"/>
    <n v="258"/>
    <s v="M/M 30/1 PENTEADO MARFIM"/>
    <x v="0"/>
    <x v="2"/>
    <x v="2"/>
    <x v="8"/>
    <x v="8"/>
    <x v="8"/>
  </r>
  <r>
    <x v="1"/>
    <x v="17"/>
    <x v="1"/>
    <x v="5"/>
    <d v="2026-04-03T08:29:00"/>
    <d v="2026-04-03T10:38:00"/>
    <x v="3"/>
    <n v="271"/>
    <s v="HELANCA SUEDINE 100%CO MARFIM"/>
    <x v="0"/>
    <x v="2"/>
    <x v="2"/>
    <x v="8"/>
    <x v="8"/>
    <x v="8"/>
  </r>
  <r>
    <x v="1"/>
    <x v="18"/>
    <x v="0"/>
    <x v="7"/>
    <d v="2026-04-03T08:45:00"/>
    <d v="2026-04-03T11:45:00"/>
    <x v="3"/>
    <n v="2744"/>
    <s v="HELANCA SUEDINE 100%CO ROSA BEBÊ"/>
    <x v="0"/>
    <x v="1"/>
    <x v="1"/>
    <x v="12"/>
    <x v="7"/>
    <x v="12"/>
  </r>
  <r>
    <x v="1"/>
    <x v="19"/>
    <x v="0"/>
    <x v="1"/>
    <d v="2026-04-03T09:36:00"/>
    <d v="2026-04-03T18:25:00"/>
    <x v="7"/>
    <n v="1444"/>
    <s v="M/M 30/1 PV ROYAL"/>
    <x v="0"/>
    <x v="1"/>
    <x v="1"/>
    <x v="13"/>
    <x v="11"/>
    <x v="13"/>
  </r>
  <r>
    <x v="5"/>
    <x v="20"/>
    <x v="0"/>
    <x v="3"/>
    <d v="2026-04-03T10:02:00"/>
    <d v="2026-04-03T15:55:00"/>
    <x v="7"/>
    <n v="1334"/>
    <s v="M/M 30/1 PV PRETO"/>
    <x v="0"/>
    <x v="1"/>
    <x v="1"/>
    <x v="14"/>
    <x v="12"/>
    <x v="14"/>
  </r>
  <r>
    <x v="5"/>
    <x v="21"/>
    <x v="0"/>
    <x v="3"/>
    <d v="2026-04-03T10:02:00"/>
    <d v="2026-04-03T15:55:00"/>
    <x v="7"/>
    <n v="1334"/>
    <s v="M/M 30/1 PV PRETO"/>
    <x v="0"/>
    <x v="1"/>
    <x v="1"/>
    <x v="14"/>
    <x v="12"/>
    <x v="14"/>
  </r>
  <r>
    <x v="1"/>
    <x v="22"/>
    <x v="0"/>
    <x v="4"/>
    <d v="2026-04-03T10:06:00"/>
    <d v="2026-04-03T15:22:00"/>
    <x v="0"/>
    <n v="17151"/>
    <s v="VISCOLYCRA VORTEX MARROM"/>
    <x v="0"/>
    <x v="1"/>
    <x v="1"/>
    <x v="15"/>
    <x v="13"/>
    <x v="15"/>
  </r>
  <r>
    <x v="1"/>
    <x v="23"/>
    <x v="1"/>
    <x v="8"/>
    <d v="2026-04-03T10:24:00"/>
    <d v="2026-04-03T12:33:00"/>
    <x v="1"/>
    <n v="258"/>
    <s v="M/M 30/1 PENTEADO MARFIM"/>
    <x v="1"/>
    <x v="0"/>
    <x v="2"/>
    <x v="8"/>
    <x v="8"/>
    <x v="8"/>
  </r>
  <r>
    <x v="1"/>
    <x v="24"/>
    <x v="0"/>
    <x v="2"/>
    <d v="2026-04-03T10:27:00"/>
    <d v="2026-04-03T17:04:00"/>
    <x v="1"/>
    <n v="1432"/>
    <s v="M/M 30/1 PENTEADO VERMELHO"/>
    <x v="0"/>
    <x v="1"/>
    <x v="1"/>
    <x v="16"/>
    <x v="6"/>
    <x v="16"/>
  </r>
  <r>
    <x v="6"/>
    <x v="25"/>
    <x v="1"/>
    <x v="5"/>
    <d v="2026-04-03T10:39:00"/>
    <d v="2026-04-03T13:57:00"/>
    <x v="2"/>
    <n v="9786"/>
    <s v="RIBANA 30/1 OE BRANCO"/>
    <x v="1"/>
    <x v="3"/>
    <x v="2"/>
    <x v="8"/>
    <x v="8"/>
    <x v="8"/>
  </r>
  <r>
    <x v="6"/>
    <x v="26"/>
    <x v="1"/>
    <x v="5"/>
    <d v="2026-04-03T10:39:00"/>
    <d v="2026-04-03T13:57:00"/>
    <x v="1"/>
    <n v="208"/>
    <s v="M/M 30/1 PENTEADO BRANCO"/>
    <x v="1"/>
    <x v="0"/>
    <x v="2"/>
    <x v="8"/>
    <x v="8"/>
    <x v="8"/>
  </r>
  <r>
    <x v="1"/>
    <x v="27"/>
    <x v="0"/>
    <x v="9"/>
    <d v="2026-04-03T11:28:00"/>
    <d v="2026-04-03T16:43:00"/>
    <x v="8"/>
    <n v="2854"/>
    <s v="POLIÉSTER FIADO ROYAL"/>
    <x v="0"/>
    <x v="1"/>
    <x v="3"/>
    <x v="17"/>
    <x v="14"/>
    <x v="17"/>
  </r>
  <r>
    <x v="1"/>
    <x v="28"/>
    <x v="0"/>
    <x v="6"/>
    <d v="2026-04-03T11:34:00"/>
    <d v="2026-04-03T17:37:00"/>
    <x v="0"/>
    <n v="16569"/>
    <s v="VISCOLYCRA VORTEX MARINHO"/>
    <x v="0"/>
    <x v="2"/>
    <x v="3"/>
    <x v="18"/>
    <x v="15"/>
    <x v="18"/>
  </r>
  <r>
    <x v="1"/>
    <x v="29"/>
    <x v="1"/>
    <x v="7"/>
    <d v="2026-04-03T11:46:00"/>
    <d v="2026-04-03T17:38:00"/>
    <x v="9"/>
    <n v="14531"/>
    <s v="MOLETOM PA TUBULAR PRETO"/>
    <x v="1"/>
    <x v="3"/>
    <x v="2"/>
    <x v="8"/>
    <x v="8"/>
    <x v="8"/>
  </r>
  <r>
    <x v="1"/>
    <x v="30"/>
    <x v="1"/>
    <x v="8"/>
    <d v="2026-04-03T12:34:00"/>
    <d v="2026-04-03T14:43:00"/>
    <x v="1"/>
    <n v="258"/>
    <s v="M/M 30/1 PENTEADO MARFIM"/>
    <x v="1"/>
    <x v="0"/>
    <x v="2"/>
    <x v="8"/>
    <x v="8"/>
    <x v="8"/>
  </r>
  <r>
    <x v="7"/>
    <x v="31"/>
    <x v="1"/>
    <x v="0"/>
    <d v="2026-04-03T12:55:00"/>
    <d v="2026-04-03T20:51:00"/>
    <x v="7"/>
    <n v="1424"/>
    <s v="M/M 30/1 PV AMARELO OURO"/>
    <x v="1"/>
    <x v="0"/>
    <x v="2"/>
    <x v="8"/>
    <x v="8"/>
    <x v="8"/>
  </r>
  <r>
    <x v="7"/>
    <x v="32"/>
    <x v="1"/>
    <x v="0"/>
    <d v="2026-04-03T12:55:00"/>
    <d v="2026-04-03T20:51:00"/>
    <x v="7"/>
    <n v="1424"/>
    <s v="M/M 30/1 PV AMARELO OURO"/>
    <x v="1"/>
    <x v="0"/>
    <x v="2"/>
    <x v="8"/>
    <x v="8"/>
    <x v="8"/>
  </r>
  <r>
    <x v="8"/>
    <x v="33"/>
    <x v="0"/>
    <x v="10"/>
    <d v="2026-04-03T13:09:00"/>
    <d v="2026-04-03T16:44:00"/>
    <x v="10"/>
    <n v="950"/>
    <s v="HELANQUINHA DRY FIT PRETO"/>
    <x v="0"/>
    <x v="2"/>
    <x v="1"/>
    <x v="19"/>
    <x v="9"/>
    <x v="19"/>
  </r>
  <r>
    <x v="8"/>
    <x v="34"/>
    <x v="0"/>
    <x v="10"/>
    <d v="2026-04-03T13:09:00"/>
    <d v="2026-04-03T16:44:00"/>
    <x v="10"/>
    <n v="950"/>
    <s v="HELANQUINHA DRY FIT PRETO"/>
    <x v="0"/>
    <x v="2"/>
    <x v="1"/>
    <x v="19"/>
    <x v="9"/>
    <x v="19"/>
  </r>
  <r>
    <x v="8"/>
    <x v="35"/>
    <x v="0"/>
    <x v="10"/>
    <d v="2026-04-03T13:09:00"/>
    <d v="2026-04-03T16:44:00"/>
    <x v="10"/>
    <n v="950"/>
    <s v="HELANQUINHA DRY FIT PRETO"/>
    <x v="1"/>
    <x v="0"/>
    <x v="1"/>
    <x v="19"/>
    <x v="9"/>
    <x v="19"/>
  </r>
  <r>
    <x v="8"/>
    <x v="36"/>
    <x v="0"/>
    <x v="10"/>
    <d v="2026-04-03T13:09:00"/>
    <d v="2026-04-03T16:44:00"/>
    <x v="10"/>
    <n v="950"/>
    <s v="HELANQUINHA DRY FIT PRETO"/>
    <x v="0"/>
    <x v="2"/>
    <x v="1"/>
    <x v="19"/>
    <x v="9"/>
    <x v="19"/>
  </r>
  <r>
    <x v="8"/>
    <x v="37"/>
    <x v="0"/>
    <x v="10"/>
    <d v="2026-04-03T13:09:00"/>
    <d v="2026-04-03T16:44:00"/>
    <x v="10"/>
    <n v="950"/>
    <s v="HELANQUINHA DRY FIT PRETO"/>
    <x v="0"/>
    <x v="2"/>
    <x v="1"/>
    <x v="19"/>
    <x v="9"/>
    <x v="19"/>
  </r>
  <r>
    <x v="8"/>
    <x v="38"/>
    <x v="0"/>
    <x v="10"/>
    <d v="2026-04-03T13:09:00"/>
    <d v="2026-04-03T16:44:00"/>
    <x v="10"/>
    <n v="950"/>
    <s v="HELANQUINHA DRY FIT PRETO"/>
    <x v="0"/>
    <x v="2"/>
    <x v="1"/>
    <x v="19"/>
    <x v="9"/>
    <x v="19"/>
  </r>
  <r>
    <x v="1"/>
    <x v="39"/>
    <x v="1"/>
    <x v="5"/>
    <d v="2026-04-03T13:58:00"/>
    <d v="2026-04-03T17:16:00"/>
    <x v="4"/>
    <n v="1651"/>
    <s v="M/M 24/1 18 TRAMAS BRANCO"/>
    <x v="1"/>
    <x v="3"/>
    <x v="2"/>
    <x v="8"/>
    <x v="8"/>
    <x v="8"/>
  </r>
  <r>
    <x v="1"/>
    <x v="40"/>
    <x v="1"/>
    <x v="8"/>
    <d v="2026-04-03T14:44:00"/>
    <d v="2026-04-03T16:53:00"/>
    <x v="1"/>
    <n v="258"/>
    <s v="M/M 30/1 PENTEADO MARFIM"/>
    <x v="1"/>
    <x v="3"/>
    <x v="2"/>
    <x v="8"/>
    <x v="8"/>
    <x v="8"/>
  </r>
  <r>
    <x v="1"/>
    <x v="41"/>
    <x v="1"/>
    <x v="4"/>
    <d v="2026-04-03T15:23:00"/>
    <d v="2026-04-03T20:39:00"/>
    <x v="0"/>
    <n v="17151"/>
    <s v="VISCOLYCRA VORTEX MARROM"/>
    <x v="0"/>
    <x v="2"/>
    <x v="2"/>
    <x v="8"/>
    <x v="8"/>
    <x v="8"/>
  </r>
  <r>
    <x v="1"/>
    <x v="42"/>
    <x v="1"/>
    <x v="8"/>
    <d v="2026-04-03T16:54:00"/>
    <d v="2026-04-03T20:12:00"/>
    <x v="4"/>
    <n v="1651"/>
    <s v="M/M 24/1 18 TRAMAS BRANCO"/>
    <x v="1"/>
    <x v="3"/>
    <x v="2"/>
    <x v="8"/>
    <x v="8"/>
    <x v="8"/>
  </r>
  <r>
    <x v="1"/>
    <x v="43"/>
    <x v="1"/>
    <x v="5"/>
    <d v="2026-04-03T17:17:00"/>
    <d v="2026-04-03T20:35:00"/>
    <x v="4"/>
    <n v="1651"/>
    <s v="M/M 24/1 18 TRAMAS BRANCO"/>
    <x v="1"/>
    <x v="3"/>
    <x v="2"/>
    <x v="8"/>
    <x v="8"/>
    <x v="8"/>
  </r>
  <r>
    <x v="9"/>
    <x v="44"/>
    <x v="1"/>
    <x v="0"/>
    <d v="2026-04-06T05:00:00"/>
    <d v="2026-04-06T13:11:00"/>
    <x v="11"/>
    <n v="1713"/>
    <s v="PIQUE PA VERMELHO"/>
    <x v="1"/>
    <x v="3"/>
    <x v="2"/>
    <x v="8"/>
    <x v="8"/>
    <x v="8"/>
  </r>
  <r>
    <x v="9"/>
    <x v="45"/>
    <x v="1"/>
    <x v="0"/>
    <d v="2026-04-06T05:00:00"/>
    <d v="2026-04-06T13:11:00"/>
    <x v="11"/>
    <n v="1713"/>
    <s v="PIQUE PA VERMELHO"/>
    <x v="1"/>
    <x v="3"/>
    <x v="2"/>
    <x v="8"/>
    <x v="8"/>
    <x v="8"/>
  </r>
  <r>
    <x v="1"/>
    <x v="46"/>
    <x v="1"/>
    <x v="5"/>
    <d v="2026-04-06T05:00:00"/>
    <d v="2026-04-06T08:18:00"/>
    <x v="4"/>
    <n v="1651"/>
    <s v="M/M 24/1 18 TRAMAS BRANCO"/>
    <x v="1"/>
    <x v="3"/>
    <x v="2"/>
    <x v="8"/>
    <x v="8"/>
    <x v="8"/>
  </r>
  <r>
    <x v="1"/>
    <x v="47"/>
    <x v="1"/>
    <x v="8"/>
    <d v="2026-04-06T05:00:00"/>
    <d v="2026-04-06T08:18:00"/>
    <x v="4"/>
    <n v="1651"/>
    <s v="M/M 24/1 18 TRAMAS BRANCO"/>
    <x v="1"/>
    <x v="3"/>
    <x v="2"/>
    <x v="8"/>
    <x v="8"/>
    <x v="8"/>
  </r>
  <r>
    <x v="1"/>
    <x v="48"/>
    <x v="1"/>
    <x v="1"/>
    <d v="2026-04-06T05:00:00"/>
    <d v="2026-04-06T12:17:00"/>
    <x v="7"/>
    <n v="1384"/>
    <s v="M/M 30/1 PV VERDE BANDEIRA"/>
    <x v="1"/>
    <x v="3"/>
    <x v="2"/>
    <x v="8"/>
    <x v="8"/>
    <x v="8"/>
  </r>
  <r>
    <x v="10"/>
    <x v="49"/>
    <x v="1"/>
    <x v="3"/>
    <d v="2026-04-06T05:00:00"/>
    <d v="2026-04-06T11:11:00"/>
    <x v="3"/>
    <n v="2562"/>
    <s v="HELANCA SUEDINE 100%CO MARINHO"/>
    <x v="1"/>
    <x v="3"/>
    <x v="2"/>
    <x v="8"/>
    <x v="8"/>
    <x v="8"/>
  </r>
  <r>
    <x v="10"/>
    <x v="50"/>
    <x v="1"/>
    <x v="3"/>
    <d v="2026-04-06T05:00:00"/>
    <d v="2026-04-06T11:11:00"/>
    <x v="3"/>
    <n v="2562"/>
    <s v="HELANCA SUEDINE 100%CO MARINHO"/>
    <x v="1"/>
    <x v="3"/>
    <x v="2"/>
    <x v="8"/>
    <x v="8"/>
    <x v="8"/>
  </r>
  <r>
    <x v="1"/>
    <x v="51"/>
    <x v="1"/>
    <x v="2"/>
    <d v="2026-04-06T05:00:00"/>
    <d v="2026-04-06T09:59:00"/>
    <x v="8"/>
    <n v="2854"/>
    <s v="POLIÉSTER FIADO ROYAL"/>
    <x v="0"/>
    <x v="2"/>
    <x v="2"/>
    <x v="8"/>
    <x v="8"/>
    <x v="8"/>
  </r>
  <r>
    <x v="1"/>
    <x v="52"/>
    <x v="1"/>
    <x v="9"/>
    <d v="2026-04-06T05:00:00"/>
    <d v="2026-04-06T10:15:00"/>
    <x v="8"/>
    <n v="2854"/>
    <s v="POLIÉSTER FIADO ROYAL"/>
    <x v="1"/>
    <x v="3"/>
    <x v="2"/>
    <x v="8"/>
    <x v="8"/>
    <x v="8"/>
  </r>
  <r>
    <x v="1"/>
    <x v="53"/>
    <x v="1"/>
    <x v="6"/>
    <d v="2026-04-06T05:00:00"/>
    <d v="2026-04-06T10:16:00"/>
    <x v="0"/>
    <n v="12248"/>
    <s v="VISCOLYCRA VORTEX VERDE MILITAR"/>
    <x v="1"/>
    <x v="3"/>
    <x v="2"/>
    <x v="8"/>
    <x v="8"/>
    <x v="8"/>
  </r>
  <r>
    <x v="11"/>
    <x v="54"/>
    <x v="1"/>
    <x v="7"/>
    <d v="2026-04-06T05:00:00"/>
    <d v="2026-04-06T10:52:00"/>
    <x v="9"/>
    <n v="14531"/>
    <s v="MOLETOM PA TUBULAR PRETO"/>
    <x v="1"/>
    <x v="3"/>
    <x v="2"/>
    <x v="8"/>
    <x v="8"/>
    <x v="8"/>
  </r>
  <r>
    <x v="11"/>
    <x v="55"/>
    <x v="1"/>
    <x v="7"/>
    <d v="2026-04-06T05:00:00"/>
    <d v="2026-04-06T10:52:00"/>
    <x v="9"/>
    <n v="14531"/>
    <s v="MOLETOM PA TUBULAR PRETO"/>
    <x v="1"/>
    <x v="3"/>
    <x v="2"/>
    <x v="8"/>
    <x v="8"/>
    <x v="8"/>
  </r>
  <r>
    <x v="1"/>
    <x v="56"/>
    <x v="1"/>
    <x v="4"/>
    <d v="2026-04-06T05:00:00"/>
    <d v="2026-04-06T10:16:00"/>
    <x v="0"/>
    <n v="17151"/>
    <s v="VISCOLYCRA VORTEX MARROM"/>
    <x v="1"/>
    <x v="3"/>
    <x v="2"/>
    <x v="8"/>
    <x v="8"/>
    <x v="8"/>
  </r>
  <r>
    <x v="1"/>
    <x v="57"/>
    <x v="0"/>
    <x v="10"/>
    <d v="2026-04-06T05:00:00"/>
    <d v="2026-04-06T11:01:00"/>
    <x v="2"/>
    <n v="19736"/>
    <s v="RIBANA 30/1 OE MARINHO"/>
    <x v="0"/>
    <x v="1"/>
    <x v="0"/>
    <x v="20"/>
    <x v="16"/>
    <x v="20"/>
  </r>
  <r>
    <x v="1"/>
    <x v="58"/>
    <x v="1"/>
    <x v="5"/>
    <d v="2026-04-06T08:19:00"/>
    <d v="2026-04-06T11:37:00"/>
    <x v="4"/>
    <n v="1651"/>
    <s v="M/M 24/1 18 TRAMAS BRANCO"/>
    <x v="1"/>
    <x v="3"/>
    <x v="2"/>
    <x v="8"/>
    <x v="8"/>
    <x v="8"/>
  </r>
  <r>
    <x v="1"/>
    <x v="59"/>
    <x v="1"/>
    <x v="8"/>
    <d v="2026-04-06T08:19:00"/>
    <d v="2026-04-06T11:37:00"/>
    <x v="4"/>
    <n v="1651"/>
    <s v="M/M 24/1 18 TRAMAS BRANCO"/>
    <x v="1"/>
    <x v="3"/>
    <x v="2"/>
    <x v="8"/>
    <x v="8"/>
    <x v="8"/>
  </r>
  <r>
    <x v="1"/>
    <x v="60"/>
    <x v="1"/>
    <x v="2"/>
    <d v="2026-04-06T10:00:00"/>
    <d v="2026-04-06T15:16:00"/>
    <x v="0"/>
    <n v="12250"/>
    <s v="VISCOLYCRA VORTEX VINHO"/>
    <x v="1"/>
    <x v="3"/>
    <x v="2"/>
    <x v="8"/>
    <x v="8"/>
    <x v="8"/>
  </r>
  <r>
    <x v="1"/>
    <x v="61"/>
    <x v="1"/>
    <x v="9"/>
    <d v="2026-04-06T10:16:00"/>
    <d v="2026-04-06T14:27:00"/>
    <x v="12"/>
    <n v="1840"/>
    <s v="HELANCA 100%PES MARINHO"/>
    <x v="1"/>
    <x v="3"/>
    <x v="2"/>
    <x v="8"/>
    <x v="8"/>
    <x v="8"/>
  </r>
  <r>
    <x v="1"/>
    <x v="62"/>
    <x v="1"/>
    <x v="4"/>
    <d v="2026-04-06T10:17:00"/>
    <d v="2026-04-06T15:33:00"/>
    <x v="0"/>
    <n v="17151"/>
    <s v="VISCOLYCRA VORTEX MARROM"/>
    <x v="1"/>
    <x v="3"/>
    <x v="2"/>
    <x v="8"/>
    <x v="8"/>
    <x v="8"/>
  </r>
  <r>
    <x v="1"/>
    <x v="63"/>
    <x v="1"/>
    <x v="6"/>
    <d v="2026-04-06T10:17:00"/>
    <d v="2026-04-06T15:39:00"/>
    <x v="0"/>
    <n v="15695"/>
    <s v="VISCOLYCRA VORTEX PETRÓLEO"/>
    <x v="1"/>
    <x v="3"/>
    <x v="2"/>
    <x v="8"/>
    <x v="8"/>
    <x v="8"/>
  </r>
  <r>
    <x v="1"/>
    <x v="64"/>
    <x v="1"/>
    <x v="10"/>
    <d v="2026-04-06T11:02:00"/>
    <d v="2026-04-06T16:45:00"/>
    <x v="7"/>
    <n v="1334"/>
    <s v="M/M 30/1 PV PRETO"/>
    <x v="0"/>
    <x v="2"/>
    <x v="2"/>
    <x v="8"/>
    <x v="8"/>
    <x v="8"/>
  </r>
  <r>
    <x v="12"/>
    <x v="65"/>
    <x v="1"/>
    <x v="3"/>
    <d v="2026-04-06T11:12:00"/>
    <d v="2026-04-06T16:26:00"/>
    <x v="2"/>
    <n v="9785"/>
    <s v="RIBANA 30/1 OE PRETO"/>
    <x v="1"/>
    <x v="3"/>
    <x v="2"/>
    <x v="8"/>
    <x v="8"/>
    <x v="8"/>
  </r>
  <r>
    <x v="12"/>
    <x v="66"/>
    <x v="1"/>
    <x v="3"/>
    <d v="2026-04-06T11:12:00"/>
    <d v="2026-04-06T16:26:00"/>
    <x v="2"/>
    <n v="9785"/>
    <s v="RIBANA 30/1 OE PRETO"/>
    <x v="1"/>
    <x v="3"/>
    <x v="2"/>
    <x v="8"/>
    <x v="8"/>
    <x v="8"/>
  </r>
  <r>
    <x v="12"/>
    <x v="67"/>
    <x v="1"/>
    <x v="3"/>
    <d v="2026-04-06T11:12:00"/>
    <d v="2026-04-06T16:26:00"/>
    <x v="1"/>
    <n v="1332"/>
    <s v="M/M 30/1 PENTEADO PRETO"/>
    <x v="1"/>
    <x v="3"/>
    <x v="2"/>
    <x v="8"/>
    <x v="8"/>
    <x v="8"/>
  </r>
  <r>
    <x v="12"/>
    <x v="68"/>
    <x v="1"/>
    <x v="3"/>
    <d v="2026-04-06T11:12:00"/>
    <d v="2026-04-06T16:26:00"/>
    <x v="1"/>
    <n v="1332"/>
    <s v="M/M 30/1 PENTEADO PRETO"/>
    <x v="1"/>
    <x v="3"/>
    <x v="2"/>
    <x v="8"/>
    <x v="8"/>
    <x v="8"/>
  </r>
  <r>
    <x v="1"/>
    <x v="69"/>
    <x v="1"/>
    <x v="8"/>
    <d v="2026-04-06T11:38:00"/>
    <d v="2026-04-06T14:38:00"/>
    <x v="4"/>
    <n v="354"/>
    <s v="M/M 24/1 18 TRAMAS AMARELO BEBÊ"/>
    <x v="1"/>
    <x v="3"/>
    <x v="2"/>
    <x v="8"/>
    <x v="8"/>
    <x v="8"/>
  </r>
  <r>
    <x v="1"/>
    <x v="70"/>
    <x v="1"/>
    <x v="5"/>
    <d v="2026-04-06T11:38:00"/>
    <d v="2026-04-06T14:56:00"/>
    <x v="4"/>
    <n v="1651"/>
    <s v="M/M 24/1 18 TRAMAS BRANCO"/>
    <x v="1"/>
    <x v="3"/>
    <x v="2"/>
    <x v="8"/>
    <x v="8"/>
    <x v="8"/>
  </r>
  <r>
    <x v="1"/>
    <x v="71"/>
    <x v="1"/>
    <x v="1"/>
    <d v="2026-04-06T12:18:00"/>
    <d v="2026-04-06T18:45:00"/>
    <x v="1"/>
    <n v="1382"/>
    <s v="M/M 30/1 PENTEADO VERDE BANDEIRA"/>
    <x v="1"/>
    <x v="3"/>
    <x v="2"/>
    <x v="8"/>
    <x v="8"/>
    <x v="8"/>
  </r>
  <r>
    <x v="13"/>
    <x v="72"/>
    <x v="1"/>
    <x v="0"/>
    <d v="2026-04-06T13:12:00"/>
    <d v="2026-04-06T17:02:00"/>
    <x v="8"/>
    <n v="3373"/>
    <s v="POLIESTER FIADO MARINHO"/>
    <x v="1"/>
    <x v="3"/>
    <x v="2"/>
    <x v="8"/>
    <x v="8"/>
    <x v="8"/>
  </r>
  <r>
    <x v="13"/>
    <x v="73"/>
    <x v="1"/>
    <x v="0"/>
    <d v="2026-04-06T13:12:00"/>
    <d v="2026-04-06T17:02:00"/>
    <x v="8"/>
    <n v="3373"/>
    <s v="POLIESTER FIADO MARINHO"/>
    <x v="1"/>
    <x v="3"/>
    <x v="2"/>
    <x v="8"/>
    <x v="8"/>
    <x v="8"/>
  </r>
  <r>
    <x v="1"/>
    <x v="74"/>
    <x v="1"/>
    <x v="9"/>
    <d v="2026-04-06T14:28:00"/>
    <d v="2026-04-06T16:14:00"/>
    <x v="13"/>
    <n v="22997"/>
    <s v="M/M 30/1 PA MESCLA"/>
    <x v="1"/>
    <x v="3"/>
    <x v="2"/>
    <x v="8"/>
    <x v="8"/>
    <x v="8"/>
  </r>
  <r>
    <x v="1"/>
    <x v="75"/>
    <x v="1"/>
    <x v="8"/>
    <d v="2026-04-06T14:39:00"/>
    <d v="2026-04-06T16:48:00"/>
    <x v="4"/>
    <n v="254"/>
    <s v="M/M 24/1 18 TRAMAS MARFIM"/>
    <x v="1"/>
    <x v="3"/>
    <x v="2"/>
    <x v="8"/>
    <x v="8"/>
    <x v="8"/>
  </r>
  <r>
    <x v="1"/>
    <x v="76"/>
    <x v="1"/>
    <x v="2"/>
    <d v="2026-04-06T15:17:00"/>
    <d v="2026-04-06T20:33:00"/>
    <x v="0"/>
    <n v="12250"/>
    <s v="VISCOLYCRA VORTEX VINHO"/>
    <x v="1"/>
    <x v="3"/>
    <x v="2"/>
    <x v="8"/>
    <x v="8"/>
    <x v="8"/>
  </r>
  <r>
    <x v="1"/>
    <x v="77"/>
    <x v="1"/>
    <x v="4"/>
    <d v="2026-04-06T15:34:00"/>
    <d v="2026-04-06T20:50:00"/>
    <x v="0"/>
    <n v="12247"/>
    <s v="VISCOLYCRA VORTEX MARINHO"/>
    <x v="1"/>
    <x v="3"/>
    <x v="2"/>
    <x v="8"/>
    <x v="8"/>
    <x v="8"/>
  </r>
  <r>
    <x v="1"/>
    <x v="78"/>
    <x v="1"/>
    <x v="6"/>
    <d v="2026-04-06T15:40:00"/>
    <d v="2026-04-06T20:56:00"/>
    <x v="0"/>
    <n v="12248"/>
    <s v="VISCOLYCRA VORTEX VERDE MILITAR"/>
    <x v="1"/>
    <x v="3"/>
    <x v="2"/>
    <x v="8"/>
    <x v="8"/>
    <x v="8"/>
  </r>
  <r>
    <x v="1"/>
    <x v="79"/>
    <x v="1"/>
    <x v="9"/>
    <d v="2026-04-06T16:15:00"/>
    <d v="2026-04-06T20:25:00"/>
    <x v="4"/>
    <n v="1261"/>
    <s v="M/M 24/1 18 TRAMAS VERDE BEBÊ"/>
    <x v="1"/>
    <x v="3"/>
    <x v="2"/>
    <x v="8"/>
    <x v="8"/>
    <x v="8"/>
  </r>
  <r>
    <x v="14"/>
    <x v="80"/>
    <x v="1"/>
    <x v="3"/>
    <d v="2026-04-06T16:27:00"/>
    <d v="2026-04-06T21:12:00"/>
    <x v="0"/>
    <n v="11944"/>
    <s v="VISCOLYCRA VORTEX PRETO"/>
    <x v="0"/>
    <x v="2"/>
    <x v="2"/>
    <x v="8"/>
    <x v="8"/>
    <x v="8"/>
  </r>
  <r>
    <x v="14"/>
    <x v="81"/>
    <x v="1"/>
    <x v="3"/>
    <d v="2026-04-06T16:27:00"/>
    <d v="2026-04-06T21:12:00"/>
    <x v="0"/>
    <n v="11944"/>
    <s v="VISCOLYCRA VORTEX PRETO"/>
    <x v="0"/>
    <x v="2"/>
    <x v="2"/>
    <x v="8"/>
    <x v="8"/>
    <x v="8"/>
  </r>
  <r>
    <x v="15"/>
    <x v="82"/>
    <x v="1"/>
    <x v="10"/>
    <d v="2026-04-06T16:46:00"/>
    <d v="2026-04-06T22:47:00"/>
    <x v="1"/>
    <n v="1342"/>
    <s v="M/M 30/1 PENTEADO MARINHO"/>
    <x v="1"/>
    <x v="3"/>
    <x v="2"/>
    <x v="8"/>
    <x v="8"/>
    <x v="8"/>
  </r>
  <r>
    <x v="15"/>
    <x v="83"/>
    <x v="1"/>
    <x v="10"/>
    <d v="2026-04-06T16:46:00"/>
    <d v="2026-04-06T22:47:00"/>
    <x v="2"/>
    <n v="11055"/>
    <s v="RIBANA 30/1 OE MARINHO"/>
    <x v="1"/>
    <x v="3"/>
    <x v="2"/>
    <x v="8"/>
    <x v="8"/>
    <x v="8"/>
  </r>
  <r>
    <x v="1"/>
    <x v="84"/>
    <x v="1"/>
    <x v="8"/>
    <d v="2026-04-06T16:49:00"/>
    <d v="2026-04-06T18:58:00"/>
    <x v="4"/>
    <n v="254"/>
    <s v="M/M 24/1 18 TRAMAS MARFIM"/>
    <x v="1"/>
    <x v="3"/>
    <x v="2"/>
    <x v="8"/>
    <x v="8"/>
    <x v="8"/>
  </r>
  <r>
    <x v="16"/>
    <x v="85"/>
    <x v="1"/>
    <x v="1"/>
    <d v="2026-04-06T18:46:00"/>
    <d v="2026-04-07T00:47:00"/>
    <x v="1"/>
    <n v="1492"/>
    <s v="M/M 30/1 PENTEADO MARROM"/>
    <x v="1"/>
    <x v="3"/>
    <x v="2"/>
    <x v="8"/>
    <x v="8"/>
    <x v="8"/>
  </r>
  <r>
    <x v="16"/>
    <x v="86"/>
    <x v="1"/>
    <x v="1"/>
    <d v="2026-04-06T18:46:00"/>
    <d v="2026-04-07T00:47:00"/>
    <x v="2"/>
    <n v="14569"/>
    <s v="RIBANA 30/1 OE MARROM"/>
    <x v="1"/>
    <x v="3"/>
    <x v="2"/>
    <x v="8"/>
    <x v="8"/>
    <x v="8"/>
  </r>
  <r>
    <x v="1"/>
    <x v="87"/>
    <x v="1"/>
    <x v="8"/>
    <d v="2026-04-06T18:59:00"/>
    <d v="2026-04-06T22:17:00"/>
    <x v="14"/>
    <n v="25"/>
    <s v="M/M 24/1 14 TRAMAS BRANCO"/>
    <x v="1"/>
    <x v="3"/>
    <x v="2"/>
    <x v="8"/>
    <x v="8"/>
    <x v="8"/>
  </r>
  <r>
    <x v="1"/>
    <x v="88"/>
    <x v="1"/>
    <x v="9"/>
    <d v="2026-04-06T20:26:00"/>
    <d v="2026-04-06T23:31:00"/>
    <x v="4"/>
    <n v="459"/>
    <s v="M/M 24/1 18 TRAMAS AZUL BEBÊ"/>
    <x v="1"/>
    <x v="3"/>
    <x v="2"/>
    <x v="8"/>
    <x v="8"/>
    <x v="8"/>
  </r>
  <r>
    <x v="1"/>
    <x v="89"/>
    <x v="1"/>
    <x v="6"/>
    <d v="2026-04-06T20:57:00"/>
    <d v="2026-04-07T01:56:00"/>
    <x v="8"/>
    <n v="2854"/>
    <s v="POLIÉSTER FIADO ROYAL"/>
    <x v="1"/>
    <x v="3"/>
    <x v="2"/>
    <x v="8"/>
    <x v="8"/>
    <x v="8"/>
  </r>
  <r>
    <x v="17"/>
    <x v="90"/>
    <x v="1"/>
    <x v="3"/>
    <d v="2026-04-06T21:13:00"/>
    <d v="2026-04-07T01:58:00"/>
    <x v="0"/>
    <n v="11944"/>
    <s v="VISCOLYCRA VORTEX PRETO"/>
    <x v="1"/>
    <x v="3"/>
    <x v="2"/>
    <x v="8"/>
    <x v="8"/>
    <x v="8"/>
  </r>
  <r>
    <x v="17"/>
    <x v="91"/>
    <x v="1"/>
    <x v="3"/>
    <d v="2026-04-06T21:13:00"/>
    <d v="2026-04-07T01:58:00"/>
    <x v="0"/>
    <n v="11944"/>
    <s v="VISCOLYCRA VORTEX PRETO"/>
    <x v="1"/>
    <x v="3"/>
    <x v="2"/>
    <x v="8"/>
    <x v="8"/>
    <x v="8"/>
  </r>
  <r>
    <x v="1"/>
    <x v="92"/>
    <x v="1"/>
    <x v="8"/>
    <d v="2026-04-06T22:18:00"/>
    <d v="2026-04-07T01:36:00"/>
    <x v="14"/>
    <n v="25"/>
    <s v="M/M 24/1 14 TRAMAS BRANCO"/>
    <x v="1"/>
    <x v="3"/>
    <x v="2"/>
    <x v="8"/>
    <x v="8"/>
    <x v="8"/>
  </r>
  <r>
    <x v="1"/>
    <x v="93"/>
    <x v="1"/>
    <x v="10"/>
    <d v="2026-04-06T22:48:00"/>
    <d v="2026-04-07T04:40:00"/>
    <x v="9"/>
    <n v="16658"/>
    <s v="MOLETOM PA TUBULAR PRETO"/>
    <x v="1"/>
    <x v="3"/>
    <x v="2"/>
    <x v="8"/>
    <x v="8"/>
    <x v="8"/>
  </r>
  <r>
    <x v="1"/>
    <x v="94"/>
    <x v="1"/>
    <x v="9"/>
    <d v="2026-04-06T23:32:00"/>
    <d v="2026-04-07T02:46:00"/>
    <x v="4"/>
    <n v="2381"/>
    <s v="M/M 24/1 18 TRAMAS ROSA BEBÊ"/>
    <x v="1"/>
    <x v="3"/>
    <x v="2"/>
    <x v="8"/>
    <x v="8"/>
    <x v="8"/>
  </r>
  <r>
    <x v="1"/>
    <x v="95"/>
    <x v="1"/>
    <x v="6"/>
    <d v="2026-04-07T01:57:00"/>
    <d v="2026-04-07T06:56:00"/>
    <x v="8"/>
    <n v="2854"/>
    <s v="POLIÉSTER FIADO ROYAL"/>
    <x v="1"/>
    <x v="3"/>
    <x v="2"/>
    <x v="8"/>
    <x v="8"/>
    <x v="8"/>
  </r>
  <r>
    <x v="18"/>
    <x v="96"/>
    <x v="1"/>
    <x v="3"/>
    <d v="2026-04-07T01:59:00"/>
    <d v="2026-04-07T08:01:00"/>
    <x v="15"/>
    <n v="606"/>
    <s v="RIBANA 2X1 24/1 PA PRETO"/>
    <x v="1"/>
    <x v="3"/>
    <x v="2"/>
    <x v="8"/>
    <x v="8"/>
    <x v="8"/>
  </r>
  <r>
    <x v="18"/>
    <x v="97"/>
    <x v="1"/>
    <x v="3"/>
    <d v="2026-04-07T01:59:00"/>
    <d v="2026-04-07T08:01:00"/>
    <x v="15"/>
    <n v="606"/>
    <s v="RIBANA 2X1 24/1 PA PRETO"/>
    <x v="1"/>
    <x v="3"/>
    <x v="2"/>
    <x v="8"/>
    <x v="8"/>
    <x v="8"/>
  </r>
  <r>
    <x v="1"/>
    <x v="98"/>
    <x v="1"/>
    <x v="9"/>
    <d v="2026-04-07T02:47:00"/>
    <d v="2026-04-07T06:01:00"/>
    <x v="4"/>
    <n v="2381"/>
    <s v="M/M 24/1 18 TRAMAS ROSA BEBÊ"/>
    <x v="1"/>
    <x v="3"/>
    <x v="2"/>
    <x v="8"/>
    <x v="8"/>
    <x v="8"/>
  </r>
  <r>
    <x v="1"/>
    <x v="99"/>
    <x v="1"/>
    <x v="10"/>
    <d v="2026-04-07T04:41:00"/>
    <d v="2026-04-07T09:16:00"/>
    <x v="0"/>
    <n v="11944"/>
    <s v="VISCOLYCRA VORTEX PRETO"/>
    <x v="1"/>
    <x v="3"/>
    <x v="2"/>
    <x v="8"/>
    <x v="8"/>
    <x v="8"/>
  </r>
  <r>
    <x v="1"/>
    <x v="100"/>
    <x v="1"/>
    <x v="10"/>
    <d v="2026-04-07T09:17:00"/>
    <d v="2026-04-07T15:09:00"/>
    <x v="9"/>
    <n v="16658"/>
    <s v="MOLETOM PA TUBULAR PRETO"/>
    <x v="1"/>
    <x v="3"/>
    <x v="2"/>
    <x v="8"/>
    <x v="8"/>
    <x v="8"/>
  </r>
  <r>
    <x v="1"/>
    <x v="101"/>
    <x v="0"/>
    <x v="10"/>
    <d v="2026-04-08T01:44:00"/>
    <d v="2026-04-08T07:52:00"/>
    <x v="6"/>
    <n v="12129"/>
    <s v="RIBANA 30/1 PV MARINHO"/>
    <x v="0"/>
    <x v="1"/>
    <x v="0"/>
    <x v="21"/>
    <x v="17"/>
    <x v="21"/>
  </r>
  <r>
    <x v="19"/>
    <x v="102"/>
    <x v="0"/>
    <x v="10"/>
    <d v="2026-04-08T07:53:00"/>
    <d v="2026-04-08T14:12:00"/>
    <x v="16"/>
    <n v="1847"/>
    <s v="GOLA PA MARINHO"/>
    <x v="0"/>
    <x v="1"/>
    <x v="1"/>
    <x v="22"/>
    <x v="18"/>
    <x v="22"/>
  </r>
  <r>
    <x v="19"/>
    <x v="103"/>
    <x v="0"/>
    <x v="10"/>
    <d v="2026-04-08T07:53:00"/>
    <d v="2026-04-08T14:12:00"/>
    <x v="11"/>
    <n v="1844"/>
    <s v="PIQUE PA MARINHO"/>
    <x v="0"/>
    <x v="1"/>
    <x v="1"/>
    <x v="22"/>
    <x v="18"/>
    <x v="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EAF911-904C-4179-8DA0-48690435EAF4}" name="AnalisePorMaquina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Máq./Grupo/Nº OB" fieldListSortAscending="1">
  <location ref="A3:B107" firstHeaderRow="1" firstDataRow="1" firstDataCol="1" rowPageCount="1" colPageCount="1"/>
  <pivotFields count="15">
    <pivotField axis="axisRow" showAll="0" defaultSubtotal="0">
      <items count="20">
        <item x="1"/>
        <item x="0"/>
        <item x="2"/>
        <item x="3"/>
        <item x="4"/>
        <item x="5"/>
        <item x="6"/>
        <item x="7"/>
        <item x="8"/>
        <item x="9"/>
        <item x="11"/>
        <item x="10"/>
        <item x="12"/>
        <item x="13"/>
        <item x="14"/>
        <item x="15"/>
        <item x="16"/>
        <item x="17"/>
        <item x="18"/>
        <item x="19"/>
      </items>
    </pivotField>
    <pivotField axis="axisRow" showAll="0" sortType="ascending" defaultSubtotal="0">
      <items count="104">
        <item x="0"/>
        <item x="1"/>
        <item x="2"/>
        <item x="5"/>
        <item x="6"/>
        <item x="4"/>
        <item x="3"/>
        <item x="7"/>
        <item x="8"/>
        <item x="9"/>
        <item x="10"/>
        <item x="11"/>
        <item x="12"/>
        <item x="13"/>
        <item x="15"/>
        <item x="14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5"/>
        <item x="34"/>
        <item x="36"/>
        <item x="33"/>
        <item x="37"/>
        <item x="38"/>
        <item x="39"/>
        <item x="40"/>
        <item x="41"/>
        <item x="42"/>
        <item x="43"/>
        <item x="44"/>
        <item x="47"/>
        <item x="45"/>
        <item x="51"/>
        <item x="56"/>
        <item x="55"/>
        <item x="49"/>
        <item x="54"/>
        <item x="52"/>
        <item x="53"/>
        <item x="48"/>
        <item x="46"/>
        <item x="57"/>
        <item x="50"/>
        <item x="59"/>
        <item x="58"/>
        <item x="60"/>
        <item x="61"/>
        <item x="62"/>
        <item x="63"/>
        <item x="64"/>
        <item x="66"/>
        <item x="65"/>
        <item x="68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1"/>
        <item x="90"/>
        <item x="92"/>
        <item x="93"/>
        <item x="94"/>
        <item x="95"/>
        <item x="97"/>
        <item x="96"/>
        <item x="98"/>
        <item x="99"/>
        <item x="100"/>
        <item x="101"/>
        <item x="102"/>
        <item x="10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defaultSubtotal="0">
      <items count="2">
        <item x="1"/>
        <item h="1" x="0"/>
      </items>
    </pivotField>
    <pivotField axis="axisRow" showAll="0" defaultSubtotal="0">
      <items count="11">
        <item x="1"/>
        <item x="8"/>
        <item x="6"/>
        <item x="5"/>
        <item x="4"/>
        <item x="2"/>
        <item x="10"/>
        <item x="7"/>
        <item x="3"/>
        <item x="9"/>
        <item x="0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3"/>
    <field x="0"/>
    <field x="1"/>
  </rowFields>
  <rowItems count="104">
    <i>
      <x/>
    </i>
    <i r="1">
      <x/>
    </i>
    <i r="2">
      <x v="54"/>
    </i>
    <i r="2">
      <x v="71"/>
    </i>
    <i r="1">
      <x v="16"/>
    </i>
    <i r="2">
      <x v="85"/>
    </i>
    <i r="2">
      <x v="86"/>
    </i>
    <i>
      <x v="1"/>
    </i>
    <i r="1">
      <x/>
    </i>
    <i r="2">
      <x v="11"/>
    </i>
    <i r="2">
      <x v="16"/>
    </i>
    <i r="2">
      <x v="23"/>
    </i>
    <i r="2">
      <x v="30"/>
    </i>
    <i r="2">
      <x v="40"/>
    </i>
    <i r="2">
      <x v="42"/>
    </i>
    <i r="2">
      <x v="45"/>
    </i>
    <i r="2">
      <x v="58"/>
    </i>
    <i r="2">
      <x v="69"/>
    </i>
    <i r="2">
      <x v="75"/>
    </i>
    <i r="2">
      <x v="84"/>
    </i>
    <i r="2">
      <x v="87"/>
    </i>
    <i r="2">
      <x v="92"/>
    </i>
    <i>
      <x v="2"/>
    </i>
    <i r="1">
      <x/>
    </i>
    <i r="2">
      <x v="53"/>
    </i>
    <i r="2">
      <x v="63"/>
    </i>
    <i r="2">
      <x v="78"/>
    </i>
    <i r="2">
      <x v="89"/>
    </i>
    <i r="2">
      <x v="95"/>
    </i>
    <i>
      <x v="3"/>
    </i>
    <i r="1">
      <x/>
    </i>
    <i r="2">
      <x v="17"/>
    </i>
    <i r="2">
      <x v="39"/>
    </i>
    <i r="2">
      <x v="43"/>
    </i>
    <i r="2">
      <x v="55"/>
    </i>
    <i r="2">
      <x v="59"/>
    </i>
    <i r="2">
      <x v="70"/>
    </i>
    <i r="1">
      <x v="6"/>
    </i>
    <i r="2">
      <x v="25"/>
    </i>
    <i r="2">
      <x v="26"/>
    </i>
    <i>
      <x v="4"/>
    </i>
    <i r="1">
      <x/>
    </i>
    <i r="2">
      <x v="41"/>
    </i>
    <i r="2">
      <x v="48"/>
    </i>
    <i r="2">
      <x v="62"/>
    </i>
    <i r="2">
      <x v="77"/>
    </i>
    <i>
      <x v="5"/>
    </i>
    <i r="1">
      <x/>
    </i>
    <i r="2">
      <x v="47"/>
    </i>
    <i r="2">
      <x v="60"/>
    </i>
    <i r="2">
      <x v="76"/>
    </i>
    <i>
      <x v="6"/>
    </i>
    <i r="1">
      <x/>
    </i>
    <i r="2">
      <x v="64"/>
    </i>
    <i r="2">
      <x v="93"/>
    </i>
    <i r="2">
      <x v="99"/>
    </i>
    <i r="2">
      <x v="100"/>
    </i>
    <i r="1">
      <x v="15"/>
    </i>
    <i r="2">
      <x v="82"/>
    </i>
    <i r="2">
      <x v="83"/>
    </i>
    <i>
      <x v="7"/>
    </i>
    <i r="1">
      <x/>
    </i>
    <i r="2">
      <x v="29"/>
    </i>
    <i r="1">
      <x v="10"/>
    </i>
    <i r="2">
      <x v="49"/>
    </i>
    <i r="2">
      <x v="51"/>
    </i>
    <i>
      <x v="8"/>
    </i>
    <i r="1">
      <x v="11"/>
    </i>
    <i r="2">
      <x v="50"/>
    </i>
    <i r="2">
      <x v="57"/>
    </i>
    <i r="1">
      <x v="12"/>
    </i>
    <i r="2">
      <x v="66"/>
    </i>
    <i r="2">
      <x v="67"/>
    </i>
    <i r="2">
      <x v="65"/>
    </i>
    <i r="2">
      <x v="68"/>
    </i>
    <i r="1">
      <x v="14"/>
    </i>
    <i r="2">
      <x v="80"/>
    </i>
    <i r="2">
      <x v="81"/>
    </i>
    <i r="1">
      <x v="17"/>
    </i>
    <i r="2">
      <x v="90"/>
    </i>
    <i r="2">
      <x v="91"/>
    </i>
    <i r="1">
      <x v="18"/>
    </i>
    <i r="2">
      <x v="96"/>
    </i>
    <i r="2">
      <x v="97"/>
    </i>
    <i>
      <x v="9"/>
    </i>
    <i r="1">
      <x/>
    </i>
    <i r="2">
      <x v="52"/>
    </i>
    <i r="2">
      <x v="61"/>
    </i>
    <i r="2">
      <x v="74"/>
    </i>
    <i r="2">
      <x v="79"/>
    </i>
    <i r="2">
      <x v="88"/>
    </i>
    <i r="2">
      <x v="94"/>
    </i>
    <i r="2">
      <x v="98"/>
    </i>
    <i>
      <x v="10"/>
    </i>
    <i r="1">
      <x v="7"/>
    </i>
    <i r="2">
      <x v="31"/>
    </i>
    <i r="2">
      <x v="32"/>
    </i>
    <i r="1">
      <x v="9"/>
    </i>
    <i r="2">
      <x v="44"/>
    </i>
    <i r="2">
      <x v="46"/>
    </i>
    <i r="1">
      <x v="13"/>
    </i>
    <i r="2">
      <x v="72"/>
    </i>
    <i r="2">
      <x v="73"/>
    </i>
    <i t="grand">
      <x/>
    </i>
  </rowItems>
  <colItems count="1">
    <i/>
  </colItems>
  <pageFields count="1">
    <pageField fld="2" hier="-1"/>
  </pageFields>
  <dataFields count="1">
    <dataField name="Início do Tingimento" fld="4" subtotal="min" baseField="0" baseItem="0" numFmtId="22"/>
  </dataField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FEFC0-B0B9-4254-B2DB-B45501369823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A8368CF-4E21-4AB6-A5A2-C80122793F74}" name="Para" dataDxfId="1" dataCellStyle="Hiperlink"/>
    <tableColumn id="2" xr3:uid="{E5DE5ECC-3884-4972-A605-ABA38C73F6EE}" name="Cópi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acacio.klann@costaricamalhas.ind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1AF1-A005-44D0-8545-181DFEA7B5B1}">
  <sheetPr codeName="Planilha2"/>
  <dimension ref="A1:B2"/>
  <sheetViews>
    <sheetView workbookViewId="0">
      <selection activeCell="B8" sqref="B8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16</v>
      </c>
      <c r="B1" t="s">
        <v>17</v>
      </c>
    </row>
    <row r="2" spans="1:2" x14ac:dyDescent="0.25">
      <c r="A2" s="7" t="s">
        <v>18</v>
      </c>
      <c r="B2" s="6"/>
    </row>
  </sheetData>
  <hyperlinks>
    <hyperlink ref="A2" r:id="rId1" xr:uid="{811EBA54-8D13-425A-801A-7A1CD827A3DA}"/>
  </hyperlinks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6107E-6F4F-42DE-987A-80B64066428F}">
  <sheetPr codeName="Planilha1">
    <pageSetUpPr fitToPage="1"/>
  </sheetPr>
  <dimension ref="A1:B107"/>
  <sheetViews>
    <sheetView tabSelected="1" workbookViewId="0">
      <selection activeCell="C5" sqref="C5"/>
    </sheetView>
  </sheetViews>
  <sheetFormatPr defaultRowHeight="15" x14ac:dyDescent="0.25"/>
  <cols>
    <col min="1" max="1" width="20.85546875" bestFit="1" customWidth="1"/>
    <col min="2" max="2" width="19.42578125" bestFit="1" customWidth="1"/>
  </cols>
  <sheetData>
    <row r="1" spans="1:2" x14ac:dyDescent="0.25">
      <c r="A1" s="1" t="s">
        <v>0</v>
      </c>
      <c r="B1" t="s">
        <v>2</v>
      </c>
    </row>
    <row r="3" spans="1:2" x14ac:dyDescent="0.25">
      <c r="A3" s="1" t="s">
        <v>4</v>
      </c>
      <c r="B3" t="s">
        <v>5</v>
      </c>
    </row>
    <row r="4" spans="1:2" x14ac:dyDescent="0.25">
      <c r="A4" s="2" t="s">
        <v>3</v>
      </c>
      <c r="B4" s="5"/>
    </row>
    <row r="5" spans="1:2" x14ac:dyDescent="0.25">
      <c r="A5" s="3">
        <v>0</v>
      </c>
      <c r="B5" s="5"/>
    </row>
    <row r="6" spans="1:2" x14ac:dyDescent="0.25">
      <c r="A6" s="4">
        <v>171972</v>
      </c>
      <c r="B6" s="5">
        <v>46118.208333333336</v>
      </c>
    </row>
    <row r="7" spans="1:2" x14ac:dyDescent="0.25">
      <c r="A7" s="4">
        <v>171948</v>
      </c>
      <c r="B7" s="5">
        <v>46118.512499999997</v>
      </c>
    </row>
    <row r="8" spans="1:2" x14ac:dyDescent="0.25">
      <c r="A8" s="3">
        <v>185656</v>
      </c>
      <c r="B8" s="5"/>
    </row>
    <row r="9" spans="1:2" x14ac:dyDescent="0.25">
      <c r="A9" s="4">
        <v>172277</v>
      </c>
      <c r="B9" s="5">
        <v>46118.781944444447</v>
      </c>
    </row>
    <row r="10" spans="1:2" x14ac:dyDescent="0.25">
      <c r="A10" s="4">
        <v>172280</v>
      </c>
      <c r="B10" s="5">
        <v>46118.781944444447</v>
      </c>
    </row>
    <row r="11" spans="1:2" x14ac:dyDescent="0.25">
      <c r="A11" s="2" t="s">
        <v>6</v>
      </c>
      <c r="B11" s="5"/>
    </row>
    <row r="12" spans="1:2" x14ac:dyDescent="0.25">
      <c r="A12" s="3">
        <v>0</v>
      </c>
      <c r="B12" s="5"/>
    </row>
    <row r="13" spans="1:2" x14ac:dyDescent="0.25">
      <c r="A13" s="4">
        <v>171935</v>
      </c>
      <c r="B13" s="5">
        <v>46115.245833333334</v>
      </c>
    </row>
    <row r="14" spans="1:2" x14ac:dyDescent="0.25">
      <c r="A14" s="4">
        <v>171936</v>
      </c>
      <c r="B14" s="5">
        <v>46115.343055555553</v>
      </c>
    </row>
    <row r="15" spans="1:2" x14ac:dyDescent="0.25">
      <c r="A15" s="4">
        <v>171937</v>
      </c>
      <c r="B15" s="5">
        <v>46115.433333333334</v>
      </c>
    </row>
    <row r="16" spans="1:2" x14ac:dyDescent="0.25">
      <c r="A16" s="4">
        <v>171938</v>
      </c>
      <c r="B16" s="5">
        <v>46115.523611111108</v>
      </c>
    </row>
    <row r="17" spans="1:2" x14ac:dyDescent="0.25">
      <c r="A17" s="4">
        <v>171939</v>
      </c>
      <c r="B17" s="5">
        <v>46115.613888888889</v>
      </c>
    </row>
    <row r="18" spans="1:2" x14ac:dyDescent="0.25">
      <c r="A18" s="4">
        <v>172210</v>
      </c>
      <c r="B18" s="5">
        <v>46115.70416666667</v>
      </c>
    </row>
    <row r="19" spans="1:2" x14ac:dyDescent="0.25">
      <c r="A19" s="4">
        <v>172211</v>
      </c>
      <c r="B19" s="5">
        <v>46118.208333333336</v>
      </c>
    </row>
    <row r="20" spans="1:2" x14ac:dyDescent="0.25">
      <c r="A20" s="4">
        <v>172244</v>
      </c>
      <c r="B20" s="5">
        <v>46118.34652777778</v>
      </c>
    </row>
    <row r="21" spans="1:2" x14ac:dyDescent="0.25">
      <c r="A21" s="4">
        <v>172214</v>
      </c>
      <c r="B21" s="5">
        <v>46118.484722222223</v>
      </c>
    </row>
    <row r="22" spans="1:2" x14ac:dyDescent="0.25">
      <c r="A22" s="4">
        <v>172212</v>
      </c>
      <c r="B22" s="5">
        <v>46118.61041666667</v>
      </c>
    </row>
    <row r="23" spans="1:2" x14ac:dyDescent="0.25">
      <c r="A23" s="4">
        <v>172246</v>
      </c>
      <c r="B23" s="5">
        <v>46118.700694444444</v>
      </c>
    </row>
    <row r="24" spans="1:2" x14ac:dyDescent="0.25">
      <c r="A24" s="4">
        <v>172207</v>
      </c>
      <c r="B24" s="5">
        <v>46118.790972222225</v>
      </c>
    </row>
    <row r="25" spans="1:2" x14ac:dyDescent="0.25">
      <c r="A25" s="4">
        <v>172208</v>
      </c>
      <c r="B25" s="5">
        <v>46118.929166666669</v>
      </c>
    </row>
    <row r="26" spans="1:2" x14ac:dyDescent="0.25">
      <c r="A26" s="2" t="s">
        <v>10</v>
      </c>
      <c r="B26" s="5"/>
    </row>
    <row r="27" spans="1:2" x14ac:dyDescent="0.25">
      <c r="A27" s="3">
        <v>0</v>
      </c>
      <c r="B27" s="5"/>
    </row>
    <row r="28" spans="1:2" x14ac:dyDescent="0.25">
      <c r="A28" s="4">
        <v>171734</v>
      </c>
      <c r="B28" s="5">
        <v>46118.208333333336</v>
      </c>
    </row>
    <row r="29" spans="1:2" x14ac:dyDescent="0.25">
      <c r="A29" s="4">
        <v>172267</v>
      </c>
      <c r="B29" s="5">
        <v>46118.428472222222</v>
      </c>
    </row>
    <row r="30" spans="1:2" x14ac:dyDescent="0.25">
      <c r="A30" s="4">
        <v>172266</v>
      </c>
      <c r="B30" s="5">
        <v>46118.652777777781</v>
      </c>
    </row>
    <row r="31" spans="1:2" x14ac:dyDescent="0.25">
      <c r="A31" s="4">
        <v>172051</v>
      </c>
      <c r="B31" s="5">
        <v>46118.872916666667</v>
      </c>
    </row>
    <row r="32" spans="1:2" x14ac:dyDescent="0.25">
      <c r="A32" s="4">
        <v>172052</v>
      </c>
      <c r="B32" s="5">
        <v>46119.081250000003</v>
      </c>
    </row>
    <row r="33" spans="1:2" x14ac:dyDescent="0.25">
      <c r="A33" s="2" t="s">
        <v>11</v>
      </c>
      <c r="B33" s="5"/>
    </row>
    <row r="34" spans="1:2" x14ac:dyDescent="0.25">
      <c r="A34" s="3">
        <v>0</v>
      </c>
      <c r="B34" s="5"/>
    </row>
    <row r="35" spans="1:2" x14ac:dyDescent="0.25">
      <c r="A35" s="4">
        <v>172330</v>
      </c>
      <c r="B35" s="5">
        <v>46115.353472222225</v>
      </c>
    </row>
    <row r="36" spans="1:2" x14ac:dyDescent="0.25">
      <c r="A36" s="4">
        <v>172964</v>
      </c>
      <c r="B36" s="5">
        <v>46115.581944444442</v>
      </c>
    </row>
    <row r="37" spans="1:2" x14ac:dyDescent="0.25">
      <c r="A37" s="4">
        <v>172965</v>
      </c>
      <c r="B37" s="5">
        <v>46115.720138888886</v>
      </c>
    </row>
    <row r="38" spans="1:2" x14ac:dyDescent="0.25">
      <c r="A38" s="4">
        <v>172966</v>
      </c>
      <c r="B38" s="5">
        <v>46118.208333333336</v>
      </c>
    </row>
    <row r="39" spans="1:2" x14ac:dyDescent="0.25">
      <c r="A39" s="4">
        <v>172967</v>
      </c>
      <c r="B39" s="5">
        <v>46118.34652777778</v>
      </c>
    </row>
    <row r="40" spans="1:2" x14ac:dyDescent="0.25">
      <c r="A40" s="4">
        <v>172968</v>
      </c>
      <c r="B40" s="5">
        <v>46118.484722222223</v>
      </c>
    </row>
    <row r="41" spans="1:2" x14ac:dyDescent="0.25">
      <c r="A41" s="3">
        <v>185659</v>
      </c>
      <c r="B41" s="5"/>
    </row>
    <row r="42" spans="1:2" x14ac:dyDescent="0.25">
      <c r="A42" s="4">
        <v>172293</v>
      </c>
      <c r="B42" s="5">
        <v>46115.443749999999</v>
      </c>
    </row>
    <row r="43" spans="1:2" x14ac:dyDescent="0.25">
      <c r="A43" s="4">
        <v>172289</v>
      </c>
      <c r="B43" s="5">
        <v>46115.443749999999</v>
      </c>
    </row>
    <row r="44" spans="1:2" x14ac:dyDescent="0.25">
      <c r="A44" s="2" t="s">
        <v>7</v>
      </c>
      <c r="B44" s="5"/>
    </row>
    <row r="45" spans="1:2" x14ac:dyDescent="0.25">
      <c r="A45" s="3">
        <v>0</v>
      </c>
      <c r="B45" s="5"/>
    </row>
    <row r="46" spans="1:2" x14ac:dyDescent="0.25">
      <c r="A46" s="4">
        <v>172906</v>
      </c>
      <c r="B46" s="5">
        <v>46115.640972222223</v>
      </c>
    </row>
    <row r="47" spans="1:2" x14ac:dyDescent="0.25">
      <c r="A47" s="4">
        <v>172907</v>
      </c>
      <c r="B47" s="5">
        <v>46118.208333333336</v>
      </c>
    </row>
    <row r="48" spans="1:2" x14ac:dyDescent="0.25">
      <c r="A48" s="4">
        <v>172908</v>
      </c>
      <c r="B48" s="5">
        <v>46118.428472222222</v>
      </c>
    </row>
    <row r="49" spans="1:2" x14ac:dyDescent="0.25">
      <c r="A49" s="4">
        <v>172894</v>
      </c>
      <c r="B49" s="5">
        <v>46118.648611111108</v>
      </c>
    </row>
    <row r="50" spans="1:2" x14ac:dyDescent="0.25">
      <c r="A50" s="2" t="s">
        <v>12</v>
      </c>
      <c r="B50" s="5"/>
    </row>
    <row r="51" spans="1:2" x14ac:dyDescent="0.25">
      <c r="A51" s="3">
        <v>0</v>
      </c>
      <c r="B51" s="5"/>
    </row>
    <row r="52" spans="1:2" x14ac:dyDescent="0.25">
      <c r="A52" s="4">
        <v>172223</v>
      </c>
      <c r="B52" s="5">
        <v>46118.208333333336</v>
      </c>
    </row>
    <row r="53" spans="1:2" x14ac:dyDescent="0.25">
      <c r="A53" s="4">
        <v>172901</v>
      </c>
      <c r="B53" s="5">
        <v>46118.416666666664</v>
      </c>
    </row>
    <row r="54" spans="1:2" x14ac:dyDescent="0.25">
      <c r="A54" s="4">
        <v>172902</v>
      </c>
      <c r="B54" s="5">
        <v>46118.636805555558</v>
      </c>
    </row>
    <row r="55" spans="1:2" x14ac:dyDescent="0.25">
      <c r="A55" s="2" t="s">
        <v>13</v>
      </c>
      <c r="B55" s="5"/>
    </row>
    <row r="56" spans="1:2" x14ac:dyDescent="0.25">
      <c r="A56" s="3">
        <v>0</v>
      </c>
      <c r="B56" s="5"/>
    </row>
    <row r="57" spans="1:2" x14ac:dyDescent="0.25">
      <c r="A57" s="4">
        <v>172221</v>
      </c>
      <c r="B57" s="5">
        <v>46118.459722222222</v>
      </c>
    </row>
    <row r="58" spans="1:2" x14ac:dyDescent="0.25">
      <c r="A58" s="4">
        <v>172886</v>
      </c>
      <c r="B58" s="5">
        <v>46118.95</v>
      </c>
    </row>
    <row r="59" spans="1:2" x14ac:dyDescent="0.25">
      <c r="A59" s="4">
        <v>172224</v>
      </c>
      <c r="B59" s="5">
        <v>46119.195138888892</v>
      </c>
    </row>
    <row r="60" spans="1:2" x14ac:dyDescent="0.25">
      <c r="A60" s="4">
        <v>172887</v>
      </c>
      <c r="B60" s="5">
        <v>46119.386805555558</v>
      </c>
    </row>
    <row r="61" spans="1:2" x14ac:dyDescent="0.25">
      <c r="A61" s="3">
        <v>185654</v>
      </c>
      <c r="B61" s="5"/>
    </row>
    <row r="62" spans="1:2" x14ac:dyDescent="0.25">
      <c r="A62" s="4">
        <v>172235</v>
      </c>
      <c r="B62" s="5">
        <v>46118.698611111111</v>
      </c>
    </row>
    <row r="63" spans="1:2" x14ac:dyDescent="0.25">
      <c r="A63" s="4">
        <v>172242</v>
      </c>
      <c r="B63" s="5">
        <v>46118.698611111111</v>
      </c>
    </row>
    <row r="64" spans="1:2" x14ac:dyDescent="0.25">
      <c r="A64" s="2" t="s">
        <v>15</v>
      </c>
      <c r="B64" s="5"/>
    </row>
    <row r="65" spans="1:2" x14ac:dyDescent="0.25">
      <c r="A65" s="3">
        <v>0</v>
      </c>
      <c r="B65" s="5"/>
    </row>
    <row r="66" spans="1:2" x14ac:dyDescent="0.25">
      <c r="A66" s="4">
        <v>172923</v>
      </c>
      <c r="B66" s="5">
        <v>46115.490277777775</v>
      </c>
    </row>
    <row r="67" spans="1:2" x14ac:dyDescent="0.25">
      <c r="A67" s="3">
        <v>185740</v>
      </c>
      <c r="B67" s="5"/>
    </row>
    <row r="68" spans="1:2" x14ac:dyDescent="0.25">
      <c r="A68" s="4">
        <v>172947</v>
      </c>
      <c r="B68" s="5">
        <v>46118.208333333336</v>
      </c>
    </row>
    <row r="69" spans="1:2" x14ac:dyDescent="0.25">
      <c r="A69" s="4">
        <v>172924</v>
      </c>
      <c r="B69" s="5">
        <v>46118.208333333336</v>
      </c>
    </row>
    <row r="70" spans="1:2" x14ac:dyDescent="0.25">
      <c r="A70" s="2" t="s">
        <v>8</v>
      </c>
      <c r="B70" s="5"/>
    </row>
    <row r="71" spans="1:2" x14ac:dyDescent="0.25">
      <c r="A71" s="3">
        <v>185713</v>
      </c>
      <c r="B71" s="5"/>
    </row>
    <row r="72" spans="1:2" x14ac:dyDescent="0.25">
      <c r="A72" s="4">
        <v>172435</v>
      </c>
      <c r="B72" s="5">
        <v>46118.208333333336</v>
      </c>
    </row>
    <row r="73" spans="1:2" x14ac:dyDescent="0.25">
      <c r="A73" s="4">
        <v>172436</v>
      </c>
      <c r="B73" s="5">
        <v>46118.208333333336</v>
      </c>
    </row>
    <row r="74" spans="1:2" x14ac:dyDescent="0.25">
      <c r="A74" s="3">
        <v>185651</v>
      </c>
      <c r="B74" s="5"/>
    </row>
    <row r="75" spans="1:2" x14ac:dyDescent="0.25">
      <c r="A75" s="4">
        <v>172278</v>
      </c>
      <c r="B75" s="5">
        <v>46118.466666666667</v>
      </c>
    </row>
    <row r="76" spans="1:2" x14ac:dyDescent="0.25">
      <c r="A76" s="4">
        <v>172232</v>
      </c>
      <c r="B76" s="5">
        <v>46118.466666666667</v>
      </c>
    </row>
    <row r="77" spans="1:2" x14ac:dyDescent="0.25">
      <c r="A77" s="4">
        <v>172239</v>
      </c>
      <c r="B77" s="5">
        <v>46118.466666666667</v>
      </c>
    </row>
    <row r="78" spans="1:2" x14ac:dyDescent="0.25">
      <c r="A78" s="4">
        <v>172275</v>
      </c>
      <c r="B78" s="5">
        <v>46118.466666666667</v>
      </c>
    </row>
    <row r="79" spans="1:2" x14ac:dyDescent="0.25">
      <c r="A79" s="3">
        <v>185729</v>
      </c>
      <c r="B79" s="5"/>
    </row>
    <row r="80" spans="1:2" x14ac:dyDescent="0.25">
      <c r="A80" s="4">
        <v>172259</v>
      </c>
      <c r="B80" s="5">
        <v>46118.685416666667</v>
      </c>
    </row>
    <row r="81" spans="1:2" x14ac:dyDescent="0.25">
      <c r="A81" s="4">
        <v>172258</v>
      </c>
      <c r="B81" s="5">
        <v>46118.685416666667</v>
      </c>
    </row>
    <row r="82" spans="1:2" x14ac:dyDescent="0.25">
      <c r="A82" s="3">
        <v>185728</v>
      </c>
      <c r="B82" s="5"/>
    </row>
    <row r="83" spans="1:2" x14ac:dyDescent="0.25">
      <c r="A83" s="4">
        <v>172260</v>
      </c>
      <c r="B83" s="5">
        <v>46118.884027777778</v>
      </c>
    </row>
    <row r="84" spans="1:2" x14ac:dyDescent="0.25">
      <c r="A84" s="4">
        <v>172261</v>
      </c>
      <c r="B84" s="5">
        <v>46118.884027777778</v>
      </c>
    </row>
    <row r="85" spans="1:2" x14ac:dyDescent="0.25">
      <c r="A85" s="3">
        <v>185727</v>
      </c>
      <c r="B85" s="5"/>
    </row>
    <row r="86" spans="1:2" x14ac:dyDescent="0.25">
      <c r="A86" s="4">
        <v>172589</v>
      </c>
      <c r="B86" s="5">
        <v>46119.082638888889</v>
      </c>
    </row>
    <row r="87" spans="1:2" x14ac:dyDescent="0.25">
      <c r="A87" s="4">
        <v>172590</v>
      </c>
      <c r="B87" s="5">
        <v>46119.082638888889</v>
      </c>
    </row>
    <row r="88" spans="1:2" x14ac:dyDescent="0.25">
      <c r="A88" s="2" t="s">
        <v>9</v>
      </c>
      <c r="B88" s="5"/>
    </row>
    <row r="89" spans="1:2" x14ac:dyDescent="0.25">
      <c r="A89" s="3">
        <v>0</v>
      </c>
      <c r="B89" s="5"/>
    </row>
    <row r="90" spans="1:2" x14ac:dyDescent="0.25">
      <c r="A90" s="4">
        <v>172049</v>
      </c>
      <c r="B90" s="5">
        <v>46118.208333333336</v>
      </c>
    </row>
    <row r="91" spans="1:2" x14ac:dyDescent="0.25">
      <c r="A91" s="4">
        <v>171995</v>
      </c>
      <c r="B91" s="5">
        <v>46118.427777777775</v>
      </c>
    </row>
    <row r="92" spans="1:2" x14ac:dyDescent="0.25">
      <c r="A92" s="4">
        <v>172868</v>
      </c>
      <c r="B92" s="5">
        <v>46118.602777777778</v>
      </c>
    </row>
    <row r="93" spans="1:2" x14ac:dyDescent="0.25">
      <c r="A93" s="4">
        <v>172218</v>
      </c>
      <c r="B93" s="5">
        <v>46118.677083333336</v>
      </c>
    </row>
    <row r="94" spans="1:2" x14ac:dyDescent="0.25">
      <c r="A94" s="4">
        <v>172216</v>
      </c>
      <c r="B94" s="5">
        <v>46118.851388888892</v>
      </c>
    </row>
    <row r="95" spans="1:2" x14ac:dyDescent="0.25">
      <c r="A95" s="4">
        <v>172219</v>
      </c>
      <c r="B95" s="5">
        <v>46118.980555555558</v>
      </c>
    </row>
    <row r="96" spans="1:2" x14ac:dyDescent="0.25">
      <c r="A96" s="4">
        <v>172220</v>
      </c>
      <c r="B96" s="5">
        <v>46119.115972222222</v>
      </c>
    </row>
    <row r="97" spans="1:2" x14ac:dyDescent="0.25">
      <c r="A97" s="2" t="s">
        <v>14</v>
      </c>
      <c r="B97" s="5"/>
    </row>
    <row r="98" spans="1:2" x14ac:dyDescent="0.25">
      <c r="A98" s="3">
        <v>185708</v>
      </c>
      <c r="B98" s="5"/>
    </row>
    <row r="99" spans="1:2" x14ac:dyDescent="0.25">
      <c r="A99" s="4">
        <v>171974</v>
      </c>
      <c r="B99" s="5">
        <v>46115.538194444445</v>
      </c>
    </row>
    <row r="100" spans="1:2" x14ac:dyDescent="0.25">
      <c r="A100" s="4">
        <v>171975</v>
      </c>
      <c r="B100" s="5">
        <v>46115.538194444445</v>
      </c>
    </row>
    <row r="101" spans="1:2" x14ac:dyDescent="0.25">
      <c r="A101" s="3">
        <v>185732</v>
      </c>
      <c r="B101" s="5"/>
    </row>
    <row r="102" spans="1:2" x14ac:dyDescent="0.25">
      <c r="A102" s="4">
        <v>172596</v>
      </c>
      <c r="B102" s="5">
        <v>46118.208333333336</v>
      </c>
    </row>
    <row r="103" spans="1:2" x14ac:dyDescent="0.25">
      <c r="A103" s="4">
        <v>172595</v>
      </c>
      <c r="B103" s="5">
        <v>46118.208333333336</v>
      </c>
    </row>
    <row r="104" spans="1:2" x14ac:dyDescent="0.25">
      <c r="A104" s="3">
        <v>185721</v>
      </c>
      <c r="B104" s="5"/>
    </row>
    <row r="105" spans="1:2" x14ac:dyDescent="0.25">
      <c r="A105" s="4">
        <v>172672</v>
      </c>
      <c r="B105" s="5">
        <v>46118.55</v>
      </c>
    </row>
    <row r="106" spans="1:2" x14ac:dyDescent="0.25">
      <c r="A106" s="4">
        <v>172673</v>
      </c>
      <c r="B106" s="5">
        <v>46118.55</v>
      </c>
    </row>
    <row r="107" spans="1:2" x14ac:dyDescent="0.25">
      <c r="A107" s="2" t="s">
        <v>1</v>
      </c>
      <c r="B107" s="5">
        <v>46115.245833333334</v>
      </c>
    </row>
  </sheetData>
  <pageMargins left="0.511811024" right="0.511811024" top="0.78740157499999996" bottom="0.78740157499999996" header="0.31496062000000002" footer="0.31496062000000002"/>
  <pageSetup paperSize="9" scale="82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FB9680-4250-4569-98EA-DA8A7E77EE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Config</vt:lpstr>
      <vt:lpstr>ControleReceitasEmitidas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2026-03-13T11:36:14Z</cp:lastPrinted>
  <dcterms:created xsi:type="dcterms:W3CDTF">2024-05-01T17:44:56Z</dcterms:created>
  <dcterms:modified xsi:type="dcterms:W3CDTF">2026-04-06T22:35:49Z</dcterms:modified>
</cp:coreProperties>
</file>