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CB8E3C65-155C-45C4-99D5-0D3193239932}" xr6:coauthVersionLast="47" xr6:coauthVersionMax="47" xr10:uidLastSave="{00000000-0000-0000-0000-000000000000}"/>
  <bookViews>
    <workbookView xWindow="-120" yWindow="-120" windowWidth="38640" windowHeight="15840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<sst xmlns="http://schemas.openxmlformats.org/spreadsheetml/2006/main" count="19" uniqueCount="19">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</sst>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29.295358333336" missingItemsLimit="0" createdVersion="7" refreshedVersion="7" minRefreshableVersion="3" recordCount="77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912" count="16">
        <n v="185912"/>
        <n v="0"/>
        <n v="185809"/>
        <n v="185905"/>
        <n v="185827"/>
        <n v="185909"/>
        <n v="185904"/>
        <n v="185908"/>
        <n v="185860"/>
        <n v="185891"/>
        <n v="185903"/>
        <n v="185911"/>
        <n v="185900"/>
        <n v="185902"/>
        <n v="185806"/>
        <n v="185717"/>
      </sharedItems>
    </cacheField>
    <cacheField name="NUMERO_OB" numFmtId="0">
      <sharedItems containsSemiMixedTypes="0" containsString="0" containsNumber="1" containsInteger="1" minValue="172559" maxValue="173975" count="77">
        <n v="173559"/>
        <n v="173560"/>
        <n v="172719"/>
        <n v="172644"/>
        <n v="173575"/>
        <n v="173577"/>
        <n v="173975"/>
        <n v="173245"/>
        <n v="173239"/>
        <n v="173240"/>
        <n v="172618"/>
        <n v="172694"/>
        <n v="173549"/>
        <n v="173550"/>
        <n v="173805"/>
        <n v="172866"/>
        <n v="173255"/>
        <n v="172775"/>
        <n v="173565"/>
        <n v="173566"/>
        <n v="172645"/>
        <n v="172668"/>
        <n v="173569"/>
        <n v="173602"/>
        <n v="172619"/>
        <n v="173912"/>
        <n v="173325"/>
        <n v="172699"/>
        <n v="173551"/>
        <n v="173552"/>
        <n v="172669"/>
        <n v="172646"/>
        <n v="173938"/>
        <n v="173615"/>
        <n v="173567"/>
        <n v="173568"/>
        <n v="173640"/>
        <n v="173596"/>
        <n v="173593"/>
        <n v="173703"/>
        <n v="173730"/>
        <n v="173612"/>
        <n v="172670"/>
        <n v="172700"/>
        <n v="173729"/>
        <n v="173629"/>
        <n v="173939"/>
        <n v="173553"/>
        <n v="173554"/>
        <n v="173326"/>
        <n v="173614"/>
        <n v="173973"/>
        <n v="173561"/>
        <n v="173562"/>
        <n v="173601"/>
        <n v="172701"/>
        <n v="172671"/>
        <n v="173911"/>
        <n v="173254"/>
        <n v="173974"/>
        <n v="172862"/>
        <n v="173622"/>
        <n v="173584"/>
        <n v="173556"/>
        <n v="173555"/>
        <n v="173609"/>
        <n v="173616"/>
        <n v="173335"/>
        <n v="173337"/>
        <n v="173327"/>
        <n v="172696"/>
        <n v="173570"/>
        <n v="172938"/>
        <n v="172937"/>
        <n v="172559"/>
        <n v="173637"/>
        <n v="172704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1"/>
        <s v="MQ03"/>
        <s v="MQ02"/>
        <s v="MQ05"/>
        <s v="MQ08"/>
        <s v="MQ04"/>
        <s v="MQ06"/>
        <s v="MQ01"/>
        <s v="MQ10"/>
        <s v="MQ09"/>
        <s v="MQ07"/>
      </sharedItems>
    </cacheField>
    <cacheField name="INICIO_TING" numFmtId="0">
      <sharedItems containsSemiMixedTypes="0" containsNonDate="0" containsDate="1" containsString="0" minDate="2026-04-17T02:05:00" maxDate="2026-04-18T07:41:00"/>
    </cacheField>
    <cacheField name="FINAL_TING" numFmtId="0">
      <sharedItems containsSemiMixedTypes="0" containsNonDate="0" containsDate="1" containsString="0" minDate="2026-04-17T07:19:00" maxDate="2026-04-18T14:48:00"/>
    </cacheField>
    <cacheField name="ARTIGO" numFmtId="0">
      <sharedItems count="17">
        <s v="00189     "/>
        <s v="00042     "/>
        <s v="00024     "/>
        <s v="00142     "/>
        <s v="00066     "/>
        <s v="00044     "/>
        <s v="00047     "/>
        <s v="00032     "/>
        <s v="00014     "/>
        <s v="00207     "/>
        <s v="00022     "/>
        <s v="00056     "/>
        <s v="00146     "/>
        <s v="00030     "/>
        <s v="00010     "/>
        <s v="00184     "/>
        <s v="00456     "/>
      </sharedItems>
    </cacheField>
    <cacheField name="REDUZIDO" numFmtId="0">
      <sharedItems containsSemiMixedTypes="0" containsString="0" containsNumber="1" containsInteger="1" minValue="193" maxValue="22676"/>
    </cacheField>
    <cacheField name="DESCRICAO" numFmtId="0">
      <sharedItems/>
    </cacheField>
    <cacheField name="FASE_ATUAL" numFmtId="0">
      <sharedItems count="3">
        <s v="TIN-TINGIMENTO"/>
        <s v="IVF-INVERSÃO P/FELPAGEM"/>
        <s v="RMC-REVISÃO MALHA CRUA"/>
      </sharedItems>
    </cacheField>
    <cacheField name="STATUS_FASE" numFmtId="0">
      <sharedItems count="4">
        <s v="EM EXECUÇÃO"/>
        <s v="EMITIDA"/>
        <s v="PESADA"/>
        <s v="PROGRAMADA"/>
      </sharedItems>
    </cacheField>
    <cacheField name="USUARIO" numFmtId="0">
      <sharedItems containsBlank="1" count="4">
        <s v="GLEVID AVISAI  CEDEÑO  MOLINA"/>
        <s v="LUIZ ANDREI DE LIMA"/>
        <s v="PETERSON ALEXANDRE FELIZARDO"/>
        <m/>
      </sharedItems>
    </cacheField>
    <cacheField name="HORARIO_PESADO" numFmtId="0">
      <sharedItems containsNonDate="0" containsDate="1" containsString="0" containsBlank="1" minDate="2026-04-16T08:18:16" maxDate="2026-04-17T07:03:51" count="23">
        <d v="2026-04-16T17:12:55"/>
        <d v="2026-04-16T17:22:48"/>
        <d v="2026-04-16T08:18:16"/>
        <d v="2026-04-16T23:10:21"/>
        <d v="2026-04-16T23:30:30"/>
        <d v="2026-04-16T22:46:22"/>
        <d v="2026-04-17T01:42:07"/>
        <d v="2026-04-16T23:00:19"/>
        <m/>
        <d v="2026-04-17T01:36:50"/>
        <d v="2026-04-17T02:11:16"/>
        <d v="2026-04-16T22:42:07"/>
        <d v="2026-04-16T23:45:46"/>
        <d v="2026-04-17T00:57:10"/>
        <d v="2026-04-16T08:42:20"/>
        <d v="2026-04-16T22:33:53"/>
        <d v="2026-04-16T23:58:07"/>
        <d v="2026-04-16T23:36:03"/>
        <d v="2026-04-16T23:04:20"/>
        <d v="2026-04-17T06:46:28"/>
        <d v="2026-04-17T06:35:24"/>
        <d v="2026-04-17T06:58:32"/>
        <d v="2026-04-17T07:03:51"/>
      </sharedItems>
    </cacheField>
    <cacheField name="DIAS_PESADO" numFmtId="0">
      <sharedItems containsString="0" containsBlank="1" containsNumber="1" minValue="0" maxValue="0.95" count="19">
        <n v="0.57999999999999996"/>
        <n v="0.56999999999999995"/>
        <n v="0.95"/>
        <n v="0.33"/>
        <n v="0.32"/>
        <n v="0.35"/>
        <n v="0.22"/>
        <n v="0.34"/>
        <m/>
        <n v="0.23"/>
        <n v="0.2"/>
        <n v="0.31"/>
        <n v="0.26"/>
        <n v="0.93"/>
        <n v="0.36"/>
        <n v="0.3"/>
        <n v="0.01"/>
        <n v="0.02"/>
        <n v="0"/>
      </sharedItems>
    </cacheField>
    <cacheField name="QUANT_PESADA" numFmtId="0">
      <sharedItems containsSemiMixedTypes="0" containsString="0" containsNumber="1" minValue="0" maxValue="152.83600000000001" count="23">
        <n v="60.915999999999997"/>
        <n v="81.108000000000004"/>
        <n v="2.8365499999999999"/>
        <n v="0.75900000000000001"/>
        <n v="0.43645"/>
        <n v="1.51"/>
        <n v="58.625"/>
        <n v="1.256"/>
        <n v="0"/>
        <n v="152.83600000000001"/>
        <n v="12.822179999999999"/>
        <n v="1.629"/>
        <n v="10.098000000000001"/>
        <n v="38.237000000000002"/>
        <n v="2.8639999999999999"/>
        <n v="8.0410000000000004"/>
        <n v="19.167000000000002"/>
        <n v="0.42848999999999998"/>
        <n v="1.2649999999999999"/>
        <n v="0.36820000000000003"/>
        <n v="48.460999999999999"/>
        <n v="1.4300299999999999"/>
        <n v="0.73824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">
  <r>
    <x v="0"/>
    <x v="0"/>
    <x v="0"/>
    <x v="0"/>
    <d v="2026-04-17T02:05:00"/>
    <d v="2026-04-17T07:51:00"/>
    <x v="0"/>
    <n v="12247"/>
    <s v="VISCOLYCRA VORTEX MARINHO"/>
    <x v="0"/>
    <x v="0"/>
    <x v="0"/>
    <x v="0"/>
    <x v="0"/>
    <x v="0"/>
  </r>
  <r>
    <x v="0"/>
    <x v="1"/>
    <x v="0"/>
    <x v="0"/>
    <d v="2026-04-17T02:05:00"/>
    <d v="2026-04-17T07:51:00"/>
    <x v="0"/>
    <n v="12247"/>
    <s v="VISCOLYCRA VORTEX MARINHO"/>
    <x v="0"/>
    <x v="0"/>
    <x v="0"/>
    <x v="0"/>
    <x v="0"/>
    <x v="0"/>
  </r>
  <r>
    <x v="1"/>
    <x v="2"/>
    <x v="0"/>
    <x v="1"/>
    <d v="2026-04-17T02:52:00"/>
    <d v="2026-04-17T08:45:00"/>
    <x v="1"/>
    <n v="1334"/>
    <s v="M/M 30/1 PV PRETO"/>
    <x v="0"/>
    <x v="0"/>
    <x v="0"/>
    <x v="1"/>
    <x v="1"/>
    <x v="1"/>
  </r>
  <r>
    <x v="1"/>
    <x v="3"/>
    <x v="0"/>
    <x v="2"/>
    <d v="2026-04-17T04:10:00"/>
    <d v="2026-04-17T08:16:00"/>
    <x v="2"/>
    <n v="22676"/>
    <s v="M/M 24/1 18 TRAMAS PISTACHE"/>
    <x v="0"/>
    <x v="0"/>
    <x v="1"/>
    <x v="2"/>
    <x v="2"/>
    <x v="2"/>
  </r>
  <r>
    <x v="1"/>
    <x v="4"/>
    <x v="0"/>
    <x v="3"/>
    <d v="2026-04-17T04:39:00"/>
    <d v="2026-04-17T07:50:00"/>
    <x v="2"/>
    <n v="1652"/>
    <s v="M/M 24/1 18 TRAMAS AZUL CELESTE"/>
    <x v="0"/>
    <x v="0"/>
    <x v="2"/>
    <x v="3"/>
    <x v="3"/>
    <x v="3"/>
  </r>
  <r>
    <x v="1"/>
    <x v="5"/>
    <x v="0"/>
    <x v="4"/>
    <d v="2026-04-17T04:48:00"/>
    <d v="2026-04-17T08:54:00"/>
    <x v="2"/>
    <n v="1261"/>
    <s v="M/M 24/1 18 TRAMAS VERDE BEBÊ"/>
    <x v="0"/>
    <x v="0"/>
    <x v="2"/>
    <x v="4"/>
    <x v="4"/>
    <x v="4"/>
  </r>
  <r>
    <x v="1"/>
    <x v="6"/>
    <x v="0"/>
    <x v="5"/>
    <d v="2026-04-17T05:05:00"/>
    <d v="2026-04-17T07:19:00"/>
    <x v="3"/>
    <n v="1654"/>
    <s v="HELANQUINHA DRY FIT BRANCO"/>
    <x v="0"/>
    <x v="0"/>
    <x v="2"/>
    <x v="5"/>
    <x v="5"/>
    <x v="5"/>
  </r>
  <r>
    <x v="2"/>
    <x v="7"/>
    <x v="0"/>
    <x v="6"/>
    <d v="2026-04-17T05:43:00"/>
    <d v="2026-04-17T11:01:00"/>
    <x v="4"/>
    <n v="5490"/>
    <s v="COTTON JEANS MESCLA PRETO 1F"/>
    <x v="0"/>
    <x v="0"/>
    <x v="2"/>
    <x v="6"/>
    <x v="6"/>
    <x v="6"/>
  </r>
  <r>
    <x v="2"/>
    <x v="8"/>
    <x v="0"/>
    <x v="6"/>
    <d v="2026-04-17T05:43:00"/>
    <d v="2026-04-17T11:01:00"/>
    <x v="5"/>
    <n v="1335"/>
    <s v="COTTON 4% OE PRETO"/>
    <x v="0"/>
    <x v="0"/>
    <x v="2"/>
    <x v="6"/>
    <x v="6"/>
    <x v="6"/>
  </r>
  <r>
    <x v="2"/>
    <x v="9"/>
    <x v="0"/>
    <x v="6"/>
    <d v="2026-04-17T05:43:00"/>
    <d v="2026-04-17T11:01:00"/>
    <x v="6"/>
    <n v="947"/>
    <s v="COTTON 6% OE RAMADO PRETO"/>
    <x v="0"/>
    <x v="0"/>
    <x v="2"/>
    <x v="6"/>
    <x v="6"/>
    <x v="6"/>
  </r>
  <r>
    <x v="1"/>
    <x v="10"/>
    <x v="0"/>
    <x v="7"/>
    <d v="2026-04-17T05:49:00"/>
    <d v="2026-04-17T09:00:00"/>
    <x v="2"/>
    <n v="1652"/>
    <s v="M/M 24/1 18 TRAMAS AZUL CELESTE"/>
    <x v="0"/>
    <x v="0"/>
    <x v="2"/>
    <x v="7"/>
    <x v="7"/>
    <x v="7"/>
  </r>
  <r>
    <x v="1"/>
    <x v="11"/>
    <x v="1"/>
    <x v="8"/>
    <d v="2026-04-17T05:53:00"/>
    <d v="2026-04-17T08:36:00"/>
    <x v="7"/>
    <n v="258"/>
    <s v="M/M 30/1 PENTEADO MARFIM"/>
    <x v="0"/>
    <x v="0"/>
    <x v="3"/>
    <x v="8"/>
    <x v="8"/>
    <x v="8"/>
  </r>
  <r>
    <x v="3"/>
    <x v="12"/>
    <x v="0"/>
    <x v="9"/>
    <d v="2026-04-17T07:02:00"/>
    <d v="2026-04-17T12:07:00"/>
    <x v="0"/>
    <n v="11944"/>
    <s v="VISCOLYCRA VORTEX PRETO"/>
    <x v="0"/>
    <x v="0"/>
    <x v="2"/>
    <x v="9"/>
    <x v="9"/>
    <x v="9"/>
  </r>
  <r>
    <x v="3"/>
    <x v="13"/>
    <x v="0"/>
    <x v="9"/>
    <d v="2026-04-17T07:02:00"/>
    <d v="2026-04-17T12:07:00"/>
    <x v="0"/>
    <n v="11944"/>
    <s v="VISCOLYCRA VORTEX PRETO"/>
    <x v="0"/>
    <x v="0"/>
    <x v="2"/>
    <x v="9"/>
    <x v="9"/>
    <x v="9"/>
  </r>
  <r>
    <x v="1"/>
    <x v="14"/>
    <x v="0"/>
    <x v="10"/>
    <d v="2026-04-17T07:04:00"/>
    <d v="2026-04-17T13:23:00"/>
    <x v="8"/>
    <n v="22514"/>
    <s v="RIBANA 2X1 24/1 PA FÚCHSIA"/>
    <x v="0"/>
    <x v="1"/>
    <x v="2"/>
    <x v="10"/>
    <x v="10"/>
    <x v="10"/>
  </r>
  <r>
    <x v="4"/>
    <x v="15"/>
    <x v="0"/>
    <x v="5"/>
    <d v="2026-04-17T07:20:00"/>
    <d v="2026-04-17T10:42:00"/>
    <x v="9"/>
    <n v="230"/>
    <s v="SUPLEX LIGHT UV 50+ BRANCO"/>
    <x v="0"/>
    <x v="2"/>
    <x v="2"/>
    <x v="11"/>
    <x v="5"/>
    <x v="11"/>
  </r>
  <r>
    <x v="4"/>
    <x v="16"/>
    <x v="0"/>
    <x v="5"/>
    <d v="2026-04-17T07:20:00"/>
    <d v="2026-04-17T10:42:00"/>
    <x v="9"/>
    <n v="230"/>
    <s v="SUPLEX LIGHT UV 50+ BRANCO"/>
    <x v="0"/>
    <x v="2"/>
    <x v="2"/>
    <x v="11"/>
    <x v="5"/>
    <x v="11"/>
  </r>
  <r>
    <x v="1"/>
    <x v="17"/>
    <x v="0"/>
    <x v="3"/>
    <d v="2026-04-17T07:51:00"/>
    <d v="2026-04-17T12:21:00"/>
    <x v="3"/>
    <n v="1108"/>
    <s v="HELANQUINHA DRY FIT ROYAL"/>
    <x v="0"/>
    <x v="2"/>
    <x v="2"/>
    <x v="12"/>
    <x v="11"/>
    <x v="12"/>
  </r>
  <r>
    <x v="5"/>
    <x v="18"/>
    <x v="0"/>
    <x v="0"/>
    <d v="2026-04-17T07:52:00"/>
    <d v="2026-04-17T13:18:00"/>
    <x v="0"/>
    <n v="17151"/>
    <s v="VISCOLYCRA VORTEX MARROM"/>
    <x v="0"/>
    <x v="2"/>
    <x v="2"/>
    <x v="13"/>
    <x v="12"/>
    <x v="13"/>
  </r>
  <r>
    <x v="5"/>
    <x v="19"/>
    <x v="0"/>
    <x v="0"/>
    <d v="2026-04-17T07:52:00"/>
    <d v="2026-04-17T13:18:00"/>
    <x v="0"/>
    <n v="17151"/>
    <s v="VISCOLYCRA VORTEX MARROM"/>
    <x v="0"/>
    <x v="2"/>
    <x v="2"/>
    <x v="13"/>
    <x v="12"/>
    <x v="13"/>
  </r>
  <r>
    <x v="1"/>
    <x v="20"/>
    <x v="0"/>
    <x v="2"/>
    <d v="2026-04-17T08:17:00"/>
    <d v="2026-04-17T12:13:00"/>
    <x v="2"/>
    <n v="22676"/>
    <s v="M/M 24/1 18 TRAMAS PISTACHE"/>
    <x v="0"/>
    <x v="2"/>
    <x v="1"/>
    <x v="14"/>
    <x v="13"/>
    <x v="14"/>
  </r>
  <r>
    <x v="1"/>
    <x v="21"/>
    <x v="0"/>
    <x v="8"/>
    <d v="2026-04-17T08:37:00"/>
    <d v="2026-04-17T12:11:00"/>
    <x v="7"/>
    <n v="208"/>
    <s v="M/M 30/1 PENTEADO BRANCO"/>
    <x v="0"/>
    <x v="2"/>
    <x v="2"/>
    <x v="15"/>
    <x v="14"/>
    <x v="15"/>
  </r>
  <r>
    <x v="1"/>
    <x v="22"/>
    <x v="0"/>
    <x v="1"/>
    <d v="2026-04-17T08:46:00"/>
    <d v="2026-04-17T14:02:00"/>
    <x v="0"/>
    <n v="17151"/>
    <s v="VISCOLYCRA VORTEX MARROM"/>
    <x v="0"/>
    <x v="2"/>
    <x v="2"/>
    <x v="16"/>
    <x v="15"/>
    <x v="16"/>
  </r>
  <r>
    <x v="1"/>
    <x v="23"/>
    <x v="0"/>
    <x v="4"/>
    <d v="2026-04-17T08:55:00"/>
    <d v="2026-04-17T12:51:00"/>
    <x v="10"/>
    <n v="1260"/>
    <s v="M/M 24/1 14 TRAMAS VERDE BEBÊ"/>
    <x v="0"/>
    <x v="2"/>
    <x v="2"/>
    <x v="17"/>
    <x v="11"/>
    <x v="17"/>
  </r>
  <r>
    <x v="1"/>
    <x v="24"/>
    <x v="0"/>
    <x v="7"/>
    <d v="2026-04-17T09:01:00"/>
    <d v="2026-04-17T12:02:00"/>
    <x v="2"/>
    <n v="1652"/>
    <s v="M/M 24/1 18 TRAMAS AZUL CELESTE"/>
    <x v="0"/>
    <x v="2"/>
    <x v="2"/>
    <x v="18"/>
    <x v="3"/>
    <x v="18"/>
  </r>
  <r>
    <x v="1"/>
    <x v="25"/>
    <x v="0"/>
    <x v="5"/>
    <d v="2026-04-17T10:43:00"/>
    <d v="2026-04-17T14:10:00"/>
    <x v="6"/>
    <n v="363"/>
    <s v="COTTON 6% OE RAMADO AMARELO BEBÊ"/>
    <x v="0"/>
    <x v="2"/>
    <x v="1"/>
    <x v="19"/>
    <x v="16"/>
    <x v="19"/>
  </r>
  <r>
    <x v="1"/>
    <x v="26"/>
    <x v="0"/>
    <x v="6"/>
    <d v="2026-04-17T11:02:00"/>
    <d v="2026-04-17T16:54:00"/>
    <x v="11"/>
    <n v="16658"/>
    <s v="MOLETOM PA TUBULAR PRETO"/>
    <x v="1"/>
    <x v="3"/>
    <x v="1"/>
    <x v="20"/>
    <x v="17"/>
    <x v="20"/>
  </r>
  <r>
    <x v="1"/>
    <x v="27"/>
    <x v="0"/>
    <x v="7"/>
    <d v="2026-04-17T12:03:00"/>
    <d v="2026-04-17T15:04:00"/>
    <x v="7"/>
    <n v="3481"/>
    <s v="M/M 30/1 PENTEADO AZUL CELESTE"/>
    <x v="0"/>
    <x v="2"/>
    <x v="1"/>
    <x v="21"/>
    <x v="18"/>
    <x v="21"/>
  </r>
  <r>
    <x v="6"/>
    <x v="28"/>
    <x v="1"/>
    <x v="9"/>
    <d v="2026-04-17T12:08:00"/>
    <d v="2026-04-17T16:53:00"/>
    <x v="0"/>
    <n v="11944"/>
    <s v="VISCOLYCRA VORTEX PRETO"/>
    <x v="0"/>
    <x v="1"/>
    <x v="3"/>
    <x v="8"/>
    <x v="8"/>
    <x v="8"/>
  </r>
  <r>
    <x v="6"/>
    <x v="29"/>
    <x v="1"/>
    <x v="9"/>
    <d v="2026-04-17T12:08:00"/>
    <d v="2026-04-17T16:53:00"/>
    <x v="0"/>
    <n v="11944"/>
    <s v="VISCOLYCRA VORTEX PRETO"/>
    <x v="0"/>
    <x v="1"/>
    <x v="3"/>
    <x v="8"/>
    <x v="8"/>
    <x v="8"/>
  </r>
  <r>
    <x v="1"/>
    <x v="30"/>
    <x v="1"/>
    <x v="8"/>
    <d v="2026-04-17T12:12:00"/>
    <d v="2026-04-17T15:46:00"/>
    <x v="7"/>
    <n v="208"/>
    <s v="M/M 30/1 PENTEADO BRANCO"/>
    <x v="0"/>
    <x v="1"/>
    <x v="3"/>
    <x v="8"/>
    <x v="8"/>
    <x v="8"/>
  </r>
  <r>
    <x v="1"/>
    <x v="31"/>
    <x v="0"/>
    <x v="2"/>
    <d v="2026-04-17T12:14:00"/>
    <d v="2026-04-17T16:10:00"/>
    <x v="2"/>
    <n v="22676"/>
    <s v="M/M 24/1 18 TRAMAS PISTACHE"/>
    <x v="0"/>
    <x v="1"/>
    <x v="1"/>
    <x v="22"/>
    <x v="18"/>
    <x v="22"/>
  </r>
  <r>
    <x v="1"/>
    <x v="32"/>
    <x v="1"/>
    <x v="3"/>
    <d v="2026-04-17T12:22:00"/>
    <d v="2026-04-17T16:52:00"/>
    <x v="12"/>
    <n v="1785"/>
    <s v="HELANCA 100%PES ROYAL"/>
    <x v="0"/>
    <x v="1"/>
    <x v="3"/>
    <x v="8"/>
    <x v="8"/>
    <x v="8"/>
  </r>
  <r>
    <x v="1"/>
    <x v="33"/>
    <x v="1"/>
    <x v="4"/>
    <d v="2026-04-17T12:52:00"/>
    <d v="2026-04-17T16:48:00"/>
    <x v="2"/>
    <n v="1261"/>
    <s v="M/M 24/1 18 TRAMAS VERDE BEBÊ"/>
    <x v="0"/>
    <x v="1"/>
    <x v="3"/>
    <x v="8"/>
    <x v="8"/>
    <x v="8"/>
  </r>
  <r>
    <x v="7"/>
    <x v="34"/>
    <x v="1"/>
    <x v="0"/>
    <d v="2026-04-17T13:19:00"/>
    <d v="2026-04-17T18:45:00"/>
    <x v="0"/>
    <n v="17151"/>
    <s v="VISCOLYCRA VORTEX MARROM"/>
    <x v="0"/>
    <x v="1"/>
    <x v="3"/>
    <x v="8"/>
    <x v="8"/>
    <x v="8"/>
  </r>
  <r>
    <x v="7"/>
    <x v="35"/>
    <x v="1"/>
    <x v="0"/>
    <d v="2026-04-17T13:19:00"/>
    <d v="2026-04-17T18:45:00"/>
    <x v="0"/>
    <n v="17151"/>
    <s v="VISCOLYCRA VORTEX MARROM"/>
    <x v="0"/>
    <x v="1"/>
    <x v="3"/>
    <x v="8"/>
    <x v="8"/>
    <x v="8"/>
  </r>
  <r>
    <x v="1"/>
    <x v="36"/>
    <x v="1"/>
    <x v="10"/>
    <d v="2026-04-17T13:24:00"/>
    <d v="2026-04-17T19:25:00"/>
    <x v="13"/>
    <n v="3303"/>
    <s v="M/M 30/1 CARDADA OE MARROM"/>
    <x v="0"/>
    <x v="1"/>
    <x v="3"/>
    <x v="8"/>
    <x v="8"/>
    <x v="8"/>
  </r>
  <r>
    <x v="8"/>
    <x v="37"/>
    <x v="1"/>
    <x v="1"/>
    <d v="2026-04-17T14:03:00"/>
    <d v="2026-04-17T20:04:00"/>
    <x v="14"/>
    <n v="14569"/>
    <s v="RIBANA 30/1 OE MARROM"/>
    <x v="0"/>
    <x v="1"/>
    <x v="3"/>
    <x v="8"/>
    <x v="8"/>
    <x v="8"/>
  </r>
  <r>
    <x v="8"/>
    <x v="38"/>
    <x v="1"/>
    <x v="1"/>
    <d v="2026-04-17T14:03:00"/>
    <d v="2026-04-17T20:04:00"/>
    <x v="7"/>
    <n v="1492"/>
    <s v="M/M 30/1 PENTEADO MARROM"/>
    <x v="0"/>
    <x v="1"/>
    <x v="3"/>
    <x v="8"/>
    <x v="8"/>
    <x v="8"/>
  </r>
  <r>
    <x v="9"/>
    <x v="39"/>
    <x v="1"/>
    <x v="5"/>
    <d v="2026-04-17T14:11:00"/>
    <d v="2026-04-17T16:20:00"/>
    <x v="14"/>
    <n v="10915"/>
    <s v="RIBANA 30/1 OE MARFIM"/>
    <x v="0"/>
    <x v="1"/>
    <x v="3"/>
    <x v="8"/>
    <x v="8"/>
    <x v="8"/>
  </r>
  <r>
    <x v="9"/>
    <x v="40"/>
    <x v="1"/>
    <x v="5"/>
    <d v="2026-04-17T14:11:00"/>
    <d v="2026-04-17T16:20:00"/>
    <x v="7"/>
    <n v="258"/>
    <s v="M/M 30/1 PENTEADO MARFIM"/>
    <x v="0"/>
    <x v="1"/>
    <x v="3"/>
    <x v="8"/>
    <x v="8"/>
    <x v="8"/>
  </r>
  <r>
    <x v="1"/>
    <x v="41"/>
    <x v="1"/>
    <x v="7"/>
    <d v="2026-04-17T15:05:00"/>
    <d v="2026-04-17T18:00:00"/>
    <x v="2"/>
    <n v="459"/>
    <s v="M/M 24/1 18 TRAMAS AZUL BEBÊ"/>
    <x v="2"/>
    <x v="3"/>
    <x v="3"/>
    <x v="8"/>
    <x v="8"/>
    <x v="8"/>
  </r>
  <r>
    <x v="1"/>
    <x v="42"/>
    <x v="1"/>
    <x v="8"/>
    <d v="2026-04-17T15:47:00"/>
    <d v="2026-04-17T19:21:00"/>
    <x v="7"/>
    <n v="208"/>
    <s v="M/M 30/1 PENTEADO BRANCO"/>
    <x v="0"/>
    <x v="1"/>
    <x v="3"/>
    <x v="8"/>
    <x v="8"/>
    <x v="8"/>
  </r>
  <r>
    <x v="1"/>
    <x v="43"/>
    <x v="1"/>
    <x v="2"/>
    <d v="2026-04-17T16:11:00"/>
    <d v="2026-04-17T19:12:00"/>
    <x v="7"/>
    <n v="1254"/>
    <s v="M/M 30/1 PENTEADO CINZA CLARO"/>
    <x v="0"/>
    <x v="1"/>
    <x v="3"/>
    <x v="8"/>
    <x v="8"/>
    <x v="8"/>
  </r>
  <r>
    <x v="1"/>
    <x v="44"/>
    <x v="1"/>
    <x v="5"/>
    <d v="2026-04-17T16:21:00"/>
    <d v="2026-04-17T18:30:00"/>
    <x v="7"/>
    <n v="258"/>
    <s v="M/M 30/1 PENTEADO MARFIM"/>
    <x v="2"/>
    <x v="3"/>
    <x v="3"/>
    <x v="8"/>
    <x v="8"/>
    <x v="8"/>
  </r>
  <r>
    <x v="1"/>
    <x v="45"/>
    <x v="1"/>
    <x v="4"/>
    <d v="2026-04-17T16:49:00"/>
    <d v="2026-04-17T18:53:00"/>
    <x v="3"/>
    <n v="1654"/>
    <s v="HELANQUINHA DRY FIT BRANCO"/>
    <x v="0"/>
    <x v="1"/>
    <x v="3"/>
    <x v="8"/>
    <x v="8"/>
    <x v="8"/>
  </r>
  <r>
    <x v="1"/>
    <x v="46"/>
    <x v="1"/>
    <x v="3"/>
    <d v="2026-04-17T16:53:00"/>
    <d v="2026-04-17T21:23:00"/>
    <x v="12"/>
    <n v="1785"/>
    <s v="HELANCA 100%PES ROYAL"/>
    <x v="0"/>
    <x v="1"/>
    <x v="3"/>
    <x v="8"/>
    <x v="8"/>
    <x v="8"/>
  </r>
  <r>
    <x v="10"/>
    <x v="47"/>
    <x v="1"/>
    <x v="9"/>
    <d v="2026-04-17T16:54:00"/>
    <d v="2026-04-17T21:39:00"/>
    <x v="0"/>
    <n v="11944"/>
    <s v="VISCOLYCRA VORTEX PRETO"/>
    <x v="0"/>
    <x v="1"/>
    <x v="3"/>
    <x v="8"/>
    <x v="8"/>
    <x v="8"/>
  </r>
  <r>
    <x v="10"/>
    <x v="48"/>
    <x v="1"/>
    <x v="9"/>
    <d v="2026-04-17T16:54:00"/>
    <d v="2026-04-17T21:39:00"/>
    <x v="0"/>
    <n v="11944"/>
    <s v="VISCOLYCRA VORTEX PRETO"/>
    <x v="0"/>
    <x v="1"/>
    <x v="3"/>
    <x v="8"/>
    <x v="8"/>
    <x v="8"/>
  </r>
  <r>
    <x v="1"/>
    <x v="49"/>
    <x v="1"/>
    <x v="6"/>
    <d v="2026-04-17T16:55:00"/>
    <d v="2026-04-17T22:47:00"/>
    <x v="11"/>
    <n v="16658"/>
    <s v="MOLETOM PA TUBULAR PRETO"/>
    <x v="1"/>
    <x v="3"/>
    <x v="3"/>
    <x v="8"/>
    <x v="8"/>
    <x v="8"/>
  </r>
  <r>
    <x v="1"/>
    <x v="50"/>
    <x v="1"/>
    <x v="7"/>
    <d v="2026-04-17T18:01:00"/>
    <d v="2026-04-17T21:57:00"/>
    <x v="2"/>
    <n v="1261"/>
    <s v="M/M 24/1 18 TRAMAS VERDE BEBÊ"/>
    <x v="0"/>
    <x v="1"/>
    <x v="3"/>
    <x v="8"/>
    <x v="8"/>
    <x v="8"/>
  </r>
  <r>
    <x v="1"/>
    <x v="51"/>
    <x v="1"/>
    <x v="5"/>
    <d v="2026-04-17T18:31:00"/>
    <d v="2026-04-17T19:57:00"/>
    <x v="15"/>
    <n v="1825"/>
    <s v="POLIÉSTER FIADO BRANCO"/>
    <x v="2"/>
    <x v="3"/>
    <x v="3"/>
    <x v="8"/>
    <x v="8"/>
    <x v="8"/>
  </r>
  <r>
    <x v="11"/>
    <x v="52"/>
    <x v="1"/>
    <x v="0"/>
    <d v="2026-04-17T18:46:00"/>
    <d v="2026-04-18T00:12:00"/>
    <x v="0"/>
    <n v="12250"/>
    <s v="VISCOLYCRA VORTEX VINHO"/>
    <x v="0"/>
    <x v="1"/>
    <x v="3"/>
    <x v="8"/>
    <x v="8"/>
    <x v="8"/>
  </r>
  <r>
    <x v="11"/>
    <x v="53"/>
    <x v="1"/>
    <x v="0"/>
    <d v="2026-04-17T18:46:00"/>
    <d v="2026-04-18T00:12:00"/>
    <x v="0"/>
    <n v="12250"/>
    <s v="VISCOLYCRA VORTEX VINHO"/>
    <x v="0"/>
    <x v="1"/>
    <x v="3"/>
    <x v="8"/>
    <x v="8"/>
    <x v="8"/>
  </r>
  <r>
    <x v="1"/>
    <x v="54"/>
    <x v="1"/>
    <x v="4"/>
    <d v="2026-04-17T18:54:00"/>
    <d v="2026-04-17T21:54:00"/>
    <x v="10"/>
    <n v="193"/>
    <s v="M/M 24/1 14 TRAMAS AMARELO BEBÊ"/>
    <x v="0"/>
    <x v="1"/>
    <x v="3"/>
    <x v="8"/>
    <x v="8"/>
    <x v="8"/>
  </r>
  <r>
    <x v="1"/>
    <x v="55"/>
    <x v="1"/>
    <x v="2"/>
    <d v="2026-04-17T19:13:00"/>
    <d v="2026-04-17T22:14:00"/>
    <x v="7"/>
    <n v="1254"/>
    <s v="M/M 30/1 PENTEADO CINZA CLARO"/>
    <x v="0"/>
    <x v="1"/>
    <x v="3"/>
    <x v="8"/>
    <x v="8"/>
    <x v="8"/>
  </r>
  <r>
    <x v="1"/>
    <x v="56"/>
    <x v="1"/>
    <x v="8"/>
    <d v="2026-04-17T19:22:00"/>
    <d v="2026-04-17T22:56:00"/>
    <x v="7"/>
    <n v="208"/>
    <s v="M/M 30/1 PENTEADO BRANCO"/>
    <x v="0"/>
    <x v="1"/>
    <x v="3"/>
    <x v="8"/>
    <x v="8"/>
    <x v="8"/>
  </r>
  <r>
    <x v="1"/>
    <x v="57"/>
    <x v="1"/>
    <x v="10"/>
    <d v="2026-04-17T19:26:00"/>
    <d v="2026-04-18T01:35:00"/>
    <x v="5"/>
    <n v="1475"/>
    <s v="COTTON 4% OE VINHO"/>
    <x v="0"/>
    <x v="1"/>
    <x v="3"/>
    <x v="8"/>
    <x v="8"/>
    <x v="8"/>
  </r>
  <r>
    <x v="12"/>
    <x v="58"/>
    <x v="1"/>
    <x v="5"/>
    <d v="2026-04-17T19:58:00"/>
    <d v="2026-04-17T21:24:00"/>
    <x v="15"/>
    <n v="1825"/>
    <s v="POLIÉSTER FIADO BRANCO"/>
    <x v="2"/>
    <x v="3"/>
    <x v="3"/>
    <x v="8"/>
    <x v="8"/>
    <x v="8"/>
  </r>
  <r>
    <x v="12"/>
    <x v="59"/>
    <x v="1"/>
    <x v="5"/>
    <d v="2026-04-17T19:58:00"/>
    <d v="2026-04-17T21:24:00"/>
    <x v="15"/>
    <n v="1825"/>
    <s v="POLIÉSTER FIADO BRANCO"/>
    <x v="2"/>
    <x v="3"/>
    <x v="3"/>
    <x v="8"/>
    <x v="8"/>
    <x v="8"/>
  </r>
  <r>
    <x v="1"/>
    <x v="60"/>
    <x v="1"/>
    <x v="1"/>
    <d v="2026-04-17T20:05:00"/>
    <d v="2026-04-18T01:21:00"/>
    <x v="0"/>
    <n v="17151"/>
    <s v="VISCOLYCRA VORTEX MARROM"/>
    <x v="0"/>
    <x v="1"/>
    <x v="3"/>
    <x v="8"/>
    <x v="8"/>
    <x v="8"/>
  </r>
  <r>
    <x v="1"/>
    <x v="61"/>
    <x v="1"/>
    <x v="3"/>
    <d v="2026-04-17T21:24:00"/>
    <d v="2026-04-18T03:25:00"/>
    <x v="2"/>
    <n v="1389"/>
    <s v="M/M 24/1 18 TRAMAS VERDE MILITAR"/>
    <x v="0"/>
    <x v="1"/>
    <x v="3"/>
    <x v="8"/>
    <x v="8"/>
    <x v="8"/>
  </r>
  <r>
    <x v="1"/>
    <x v="62"/>
    <x v="1"/>
    <x v="5"/>
    <d v="2026-04-17T21:25:00"/>
    <d v="2026-04-17T22:57:00"/>
    <x v="0"/>
    <n v="12246"/>
    <s v="VISCOLYCRA VORTEX MARFIM"/>
    <x v="2"/>
    <x v="3"/>
    <x v="3"/>
    <x v="8"/>
    <x v="8"/>
    <x v="8"/>
  </r>
  <r>
    <x v="13"/>
    <x v="63"/>
    <x v="1"/>
    <x v="9"/>
    <d v="2026-04-17T21:40:00"/>
    <d v="2026-04-18T02:25:00"/>
    <x v="0"/>
    <n v="11944"/>
    <s v="VISCOLYCRA VORTEX PRETO"/>
    <x v="2"/>
    <x v="3"/>
    <x v="3"/>
    <x v="8"/>
    <x v="8"/>
    <x v="8"/>
  </r>
  <r>
    <x v="13"/>
    <x v="64"/>
    <x v="1"/>
    <x v="9"/>
    <d v="2026-04-17T21:40:00"/>
    <d v="2026-04-18T02:25:00"/>
    <x v="0"/>
    <n v="11944"/>
    <s v="VISCOLYCRA VORTEX PRETO"/>
    <x v="2"/>
    <x v="3"/>
    <x v="3"/>
    <x v="8"/>
    <x v="8"/>
    <x v="8"/>
  </r>
  <r>
    <x v="1"/>
    <x v="65"/>
    <x v="1"/>
    <x v="4"/>
    <d v="2026-04-17T21:55:00"/>
    <d v="2026-04-18T00:55:00"/>
    <x v="2"/>
    <n v="354"/>
    <s v="M/M 24/1 18 TRAMAS AMARELO BEBÊ"/>
    <x v="2"/>
    <x v="3"/>
    <x v="3"/>
    <x v="8"/>
    <x v="8"/>
    <x v="8"/>
  </r>
  <r>
    <x v="1"/>
    <x v="66"/>
    <x v="1"/>
    <x v="7"/>
    <d v="2026-04-17T21:58:00"/>
    <d v="2026-04-18T00:58:00"/>
    <x v="2"/>
    <n v="2381"/>
    <s v="M/M 24/1 18 TRAMAS ROSA BEBÊ"/>
    <x v="2"/>
    <x v="3"/>
    <x v="3"/>
    <x v="8"/>
    <x v="8"/>
    <x v="8"/>
  </r>
  <r>
    <x v="14"/>
    <x v="67"/>
    <x v="1"/>
    <x v="2"/>
    <d v="2026-04-17T22:15:00"/>
    <d v="2026-04-17T23:38:00"/>
    <x v="16"/>
    <n v="14539"/>
    <s v="MOLETOM MESCLA PA TUBULAR"/>
    <x v="2"/>
    <x v="3"/>
    <x v="3"/>
    <x v="8"/>
    <x v="8"/>
    <x v="8"/>
  </r>
  <r>
    <x v="14"/>
    <x v="68"/>
    <x v="1"/>
    <x v="2"/>
    <d v="2026-04-17T22:15:00"/>
    <d v="2026-04-17T23:38:00"/>
    <x v="16"/>
    <n v="14539"/>
    <s v="MOLETOM MESCLA PA TUBULAR"/>
    <x v="2"/>
    <x v="3"/>
    <x v="3"/>
    <x v="8"/>
    <x v="8"/>
    <x v="8"/>
  </r>
  <r>
    <x v="1"/>
    <x v="69"/>
    <x v="1"/>
    <x v="6"/>
    <d v="2026-04-17T22:48:00"/>
    <d v="2026-04-18T04:40:00"/>
    <x v="11"/>
    <n v="16658"/>
    <s v="MOLETOM PA TUBULAR PRETO"/>
    <x v="2"/>
    <x v="3"/>
    <x v="3"/>
    <x v="8"/>
    <x v="8"/>
    <x v="8"/>
  </r>
  <r>
    <x v="1"/>
    <x v="70"/>
    <x v="1"/>
    <x v="8"/>
    <d v="2026-04-17T22:57:00"/>
    <d v="2026-04-18T01:20:00"/>
    <x v="7"/>
    <n v="258"/>
    <s v="M/M 30/1 PENTEADO MARFIM"/>
    <x v="2"/>
    <x v="0"/>
    <x v="3"/>
    <x v="8"/>
    <x v="8"/>
    <x v="8"/>
  </r>
  <r>
    <x v="1"/>
    <x v="71"/>
    <x v="1"/>
    <x v="5"/>
    <d v="2026-04-17T22:58:00"/>
    <d v="2026-04-18T02:16:00"/>
    <x v="2"/>
    <n v="1651"/>
    <s v="M/M 24/1 18 TRAMAS BRANCO"/>
    <x v="0"/>
    <x v="1"/>
    <x v="3"/>
    <x v="8"/>
    <x v="8"/>
    <x v="8"/>
  </r>
  <r>
    <x v="15"/>
    <x v="72"/>
    <x v="1"/>
    <x v="2"/>
    <d v="2026-04-17T23:39:00"/>
    <d v="2026-04-18T07:40:00"/>
    <x v="11"/>
    <n v="14533"/>
    <s v="MOLETOM PA TUBULAR AMARELO OURO"/>
    <x v="2"/>
    <x v="3"/>
    <x v="3"/>
    <x v="8"/>
    <x v="8"/>
    <x v="8"/>
  </r>
  <r>
    <x v="15"/>
    <x v="73"/>
    <x v="1"/>
    <x v="2"/>
    <d v="2026-04-17T23:39:00"/>
    <d v="2026-04-18T07:40:00"/>
    <x v="11"/>
    <n v="14533"/>
    <s v="MOLETOM PA TUBULAR AMARELO OURO"/>
    <x v="2"/>
    <x v="3"/>
    <x v="3"/>
    <x v="8"/>
    <x v="8"/>
    <x v="8"/>
  </r>
  <r>
    <x v="15"/>
    <x v="74"/>
    <x v="1"/>
    <x v="2"/>
    <d v="2026-04-17T23:39:00"/>
    <d v="2026-04-18T07:40:00"/>
    <x v="11"/>
    <n v="14533"/>
    <s v="MOLETOM PA TUBULAR AMARELO OURO"/>
    <x v="2"/>
    <x v="3"/>
    <x v="3"/>
    <x v="8"/>
    <x v="8"/>
    <x v="8"/>
  </r>
  <r>
    <x v="1"/>
    <x v="75"/>
    <x v="1"/>
    <x v="1"/>
    <d v="2026-04-18T01:22:00"/>
    <d v="2026-04-18T07:23:00"/>
    <x v="7"/>
    <n v="1342"/>
    <s v="M/M 30/1 PENTEADO MARINHO"/>
    <x v="2"/>
    <x v="3"/>
    <x v="3"/>
    <x v="8"/>
    <x v="8"/>
    <x v="8"/>
  </r>
  <r>
    <x v="1"/>
    <x v="76"/>
    <x v="1"/>
    <x v="2"/>
    <d v="2026-04-18T07:41:00"/>
    <d v="2026-04-18T14:48:00"/>
    <x v="7"/>
    <n v="7409"/>
    <s v="M/M 30/1 PENTEADO CARAMELO"/>
    <x v="2"/>
    <x v="3"/>
    <x v="3"/>
    <x v="8"/>
    <x v="8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83" firstHeaderRow="1" firstDataRow="1" firstDataCol="1" rowPageCount="1" colPageCount="1"/>
  <pivotFields count="15">
    <pivotField axis="axisRow" showAll="0" defaultSubtotal="0">
      <items count="1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showAll="0" sortType="ascending" defaultSubtotal="0">
      <items count="77">
        <item x="0"/>
        <item x="1"/>
        <item x="2"/>
        <item x="3"/>
        <item x="4"/>
        <item x="5"/>
        <item x="6"/>
        <item x="9"/>
        <item x="7"/>
        <item x="8"/>
        <item x="10"/>
        <item x="11"/>
        <item x="13"/>
        <item x="12"/>
        <item x="14"/>
        <item x="16"/>
        <item x="15"/>
        <item x="17"/>
        <item x="19"/>
        <item x="18"/>
        <item x="20"/>
        <item x="21"/>
        <item x="22"/>
        <item x="23"/>
        <item x="24"/>
        <item x="25"/>
        <item x="26"/>
        <item x="27"/>
        <item x="29"/>
        <item x="28"/>
        <item x="30"/>
        <item x="31"/>
        <item x="32"/>
        <item x="33"/>
        <item x="35"/>
        <item x="34"/>
        <item x="36"/>
        <item x="37"/>
        <item x="38"/>
        <item x="40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3"/>
        <item x="52"/>
        <item x="54"/>
        <item x="55"/>
        <item x="56"/>
        <item x="57"/>
        <item x="58"/>
        <item x="59"/>
        <item x="60"/>
        <item x="61"/>
        <item x="62"/>
        <item x="64"/>
        <item x="63"/>
        <item x="65"/>
        <item x="66"/>
        <item x="67"/>
        <item x="68"/>
        <item x="69"/>
        <item x="70"/>
        <item x="71"/>
        <item x="74"/>
        <item x="72"/>
        <item x="73"/>
        <item x="75"/>
        <item x="7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7"/>
        <item x="2"/>
        <item x="1"/>
        <item x="5"/>
        <item x="3"/>
        <item x="6"/>
        <item x="10"/>
        <item x="4"/>
        <item x="9"/>
        <item x="8"/>
        <item x="0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80">
    <i>
      <x/>
    </i>
    <i r="1">
      <x/>
    </i>
    <i r="2">
      <x v="41"/>
    </i>
    <i r="2">
      <x v="50"/>
    </i>
    <i r="2">
      <x v="66"/>
    </i>
    <i>
      <x v="1"/>
    </i>
    <i r="1">
      <x/>
    </i>
    <i r="2">
      <x v="43"/>
    </i>
    <i r="2">
      <x v="55"/>
    </i>
    <i r="2">
      <x v="76"/>
    </i>
    <i r="1">
      <x v="14"/>
    </i>
    <i r="2">
      <x v="67"/>
    </i>
    <i r="2">
      <x v="68"/>
    </i>
    <i r="1">
      <x v="15"/>
    </i>
    <i r="2">
      <x v="73"/>
    </i>
    <i r="2">
      <x v="72"/>
    </i>
    <i r="2">
      <x v="74"/>
    </i>
    <i>
      <x v="2"/>
    </i>
    <i r="1">
      <x/>
    </i>
    <i r="2">
      <x v="60"/>
    </i>
    <i r="2">
      <x v="75"/>
    </i>
    <i r="1">
      <x v="8"/>
    </i>
    <i r="2">
      <x v="37"/>
    </i>
    <i r="2">
      <x v="38"/>
    </i>
    <i>
      <x v="3"/>
    </i>
    <i r="1">
      <x/>
    </i>
    <i r="2">
      <x v="44"/>
    </i>
    <i r="2">
      <x v="51"/>
    </i>
    <i r="2">
      <x v="62"/>
    </i>
    <i r="2">
      <x v="71"/>
    </i>
    <i r="1">
      <x v="9"/>
    </i>
    <i r="2">
      <x v="39"/>
    </i>
    <i r="2">
      <x v="40"/>
    </i>
    <i r="1">
      <x v="12"/>
    </i>
    <i r="2">
      <x v="58"/>
    </i>
    <i r="2">
      <x v="59"/>
    </i>
    <i>
      <x v="4"/>
    </i>
    <i r="1">
      <x/>
    </i>
    <i r="2">
      <x v="32"/>
    </i>
    <i r="2">
      <x v="46"/>
    </i>
    <i r="2">
      <x v="61"/>
    </i>
    <i>
      <x v="5"/>
    </i>
    <i r="1">
      <x/>
    </i>
    <i r="2">
      <x v="49"/>
    </i>
    <i r="2">
      <x v="69"/>
    </i>
    <i>
      <x v="6"/>
    </i>
    <i r="1">
      <x/>
    </i>
    <i r="2">
      <x v="36"/>
    </i>
    <i r="2">
      <x v="57"/>
    </i>
    <i>
      <x v="7"/>
    </i>
    <i r="1">
      <x/>
    </i>
    <i r="2">
      <x v="33"/>
    </i>
    <i r="2">
      <x v="45"/>
    </i>
    <i r="2">
      <x v="54"/>
    </i>
    <i r="2">
      <x v="65"/>
    </i>
    <i>
      <x v="8"/>
    </i>
    <i r="1">
      <x v="6"/>
    </i>
    <i r="2">
      <x v="28"/>
    </i>
    <i r="2">
      <x v="29"/>
    </i>
    <i r="1">
      <x v="10"/>
    </i>
    <i r="2">
      <x v="47"/>
    </i>
    <i r="2">
      <x v="48"/>
    </i>
    <i r="1">
      <x v="13"/>
    </i>
    <i r="2">
      <x v="63"/>
    </i>
    <i r="2">
      <x v="64"/>
    </i>
    <i>
      <x v="9"/>
    </i>
    <i r="1">
      <x/>
    </i>
    <i r="2">
      <x v="11"/>
    </i>
    <i r="2">
      <x v="30"/>
    </i>
    <i r="2">
      <x v="42"/>
    </i>
    <i r="2">
      <x v="56"/>
    </i>
    <i r="2">
      <x v="70"/>
    </i>
    <i>
      <x v="10"/>
    </i>
    <i r="1">
      <x v="7"/>
    </i>
    <i r="2">
      <x v="34"/>
    </i>
    <i r="2">
      <x v="35"/>
    </i>
    <i r="1">
      <x v="11"/>
    </i>
    <i r="2">
      <x v="52"/>
    </i>
    <i r="2">
      <x v="53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83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173612</v>
      </c>
      <c r="B6" s="5">
        <v>46129.628472222219</v>
      </c>
    </row>
    <row r="7" spans="1:2" x14ac:dyDescent="0.25">
      <c r="A7" s="4">
        <v>173614</v>
      </c>
      <c r="B7" s="5">
        <v>46129.750694444447</v>
      </c>
    </row>
    <row r="8" spans="1:2" x14ac:dyDescent="0.25">
      <c r="A8" s="4">
        <v>173616</v>
      </c>
      <c r="B8" s="5">
        <v>46129.915277777778</v>
      </c>
    </row>
    <row r="9" spans="1:2" x14ac:dyDescent="0.25">
      <c r="A9" s="2" t="s">
        <v>6</v>
      </c>
      <c r="B9" s="5"/>
    </row>
    <row r="10" spans="1:2" x14ac:dyDescent="0.25">
      <c r="A10" s="3">
        <v>0</v>
      </c>
      <c r="B10" s="5"/>
    </row>
    <row r="11" spans="1:2" x14ac:dyDescent="0.25">
      <c r="A11" s="4">
        <v>172700</v>
      </c>
      <c r="B11" s="5">
        <v>46129.674305555556</v>
      </c>
    </row>
    <row r="12" spans="1:2" x14ac:dyDescent="0.25">
      <c r="A12" s="4">
        <v>172701</v>
      </c>
      <c r="B12" s="5">
        <v>46129.800694444442</v>
      </c>
    </row>
    <row r="13" spans="1:2" x14ac:dyDescent="0.25">
      <c r="A13" s="4">
        <v>172704</v>
      </c>
      <c r="B13" s="5">
        <v>46130.320138888892</v>
      </c>
    </row>
    <row r="14" spans="1:2" x14ac:dyDescent="0.25">
      <c r="A14" s="3">
        <v>185806</v>
      </c>
      <c r="B14" s="5"/>
    </row>
    <row r="15" spans="1:2" x14ac:dyDescent="0.25">
      <c r="A15" s="4">
        <v>173335</v>
      </c>
      <c r="B15" s="5">
        <v>46129.927083333336</v>
      </c>
    </row>
    <row r="16" spans="1:2" x14ac:dyDescent="0.25">
      <c r="A16" s="4">
        <v>173337</v>
      </c>
      <c r="B16" s="5">
        <v>46129.927083333336</v>
      </c>
    </row>
    <row r="17" spans="1:2" x14ac:dyDescent="0.25">
      <c r="A17" s="3">
        <v>185717</v>
      </c>
      <c r="B17" s="5"/>
    </row>
    <row r="18" spans="1:2" x14ac:dyDescent="0.25">
      <c r="A18" s="4">
        <v>172938</v>
      </c>
      <c r="B18" s="5">
        <v>46129.98541666667</v>
      </c>
    </row>
    <row r="19" spans="1:2" x14ac:dyDescent="0.25">
      <c r="A19" s="4">
        <v>172559</v>
      </c>
      <c r="B19" s="5">
        <v>46129.98541666667</v>
      </c>
    </row>
    <row r="20" spans="1:2" x14ac:dyDescent="0.25">
      <c r="A20" s="4">
        <v>172937</v>
      </c>
      <c r="B20" s="5">
        <v>46129.98541666667</v>
      </c>
    </row>
    <row r="21" spans="1:2" x14ac:dyDescent="0.25">
      <c r="A21" s="2" t="s">
        <v>10</v>
      </c>
      <c r="B21" s="5"/>
    </row>
    <row r="22" spans="1:2" x14ac:dyDescent="0.25">
      <c r="A22" s="3">
        <v>0</v>
      </c>
      <c r="B22" s="5"/>
    </row>
    <row r="23" spans="1:2" x14ac:dyDescent="0.25">
      <c r="A23" s="4">
        <v>172862</v>
      </c>
      <c r="B23" s="5">
        <v>46129.836805555555</v>
      </c>
    </row>
    <row r="24" spans="1:2" x14ac:dyDescent="0.25">
      <c r="A24" s="4">
        <v>173637</v>
      </c>
      <c r="B24" s="5">
        <v>46130.056944444441</v>
      </c>
    </row>
    <row r="25" spans="1:2" x14ac:dyDescent="0.25">
      <c r="A25" s="3">
        <v>185860</v>
      </c>
      <c r="B25" s="5"/>
    </row>
    <row r="26" spans="1:2" x14ac:dyDescent="0.25">
      <c r="A26" s="4">
        <v>173596</v>
      </c>
      <c r="B26" s="5">
        <v>46129.585416666669</v>
      </c>
    </row>
    <row r="27" spans="1:2" x14ac:dyDescent="0.25">
      <c r="A27" s="4">
        <v>173593</v>
      </c>
      <c r="B27" s="5">
        <v>46129.585416666669</v>
      </c>
    </row>
    <row r="28" spans="1:2" x14ac:dyDescent="0.25">
      <c r="A28" s="2" t="s">
        <v>11</v>
      </c>
      <c r="B28" s="5"/>
    </row>
    <row r="29" spans="1:2" x14ac:dyDescent="0.25">
      <c r="A29" s="3">
        <v>0</v>
      </c>
      <c r="B29" s="5"/>
    </row>
    <row r="30" spans="1:2" x14ac:dyDescent="0.25">
      <c r="A30" s="4">
        <v>173729</v>
      </c>
      <c r="B30" s="5">
        <v>46129.681250000001</v>
      </c>
    </row>
    <row r="31" spans="1:2" x14ac:dyDescent="0.25">
      <c r="A31" s="4">
        <v>173973</v>
      </c>
      <c r="B31" s="5">
        <v>46129.771527777775</v>
      </c>
    </row>
    <row r="32" spans="1:2" x14ac:dyDescent="0.25">
      <c r="A32" s="4">
        <v>173584</v>
      </c>
      <c r="B32" s="5">
        <v>46129.892361111109</v>
      </c>
    </row>
    <row r="33" spans="1:2" x14ac:dyDescent="0.25">
      <c r="A33" s="4">
        <v>173570</v>
      </c>
      <c r="B33" s="5">
        <v>46129.956944444442</v>
      </c>
    </row>
    <row r="34" spans="1:2" x14ac:dyDescent="0.25">
      <c r="A34" s="3">
        <v>185891</v>
      </c>
      <c r="B34" s="5"/>
    </row>
    <row r="35" spans="1:2" x14ac:dyDescent="0.25">
      <c r="A35" s="4">
        <v>173730</v>
      </c>
      <c r="B35" s="5">
        <v>46129.59097222222</v>
      </c>
    </row>
    <row r="36" spans="1:2" x14ac:dyDescent="0.25">
      <c r="A36" s="4">
        <v>173703</v>
      </c>
      <c r="B36" s="5">
        <v>46129.59097222222</v>
      </c>
    </row>
    <row r="37" spans="1:2" x14ac:dyDescent="0.25">
      <c r="A37" s="3">
        <v>185900</v>
      </c>
      <c r="B37" s="5"/>
    </row>
    <row r="38" spans="1:2" x14ac:dyDescent="0.25">
      <c r="A38" s="4">
        <v>173254</v>
      </c>
      <c r="B38" s="5">
        <v>46129.831944444442</v>
      </c>
    </row>
    <row r="39" spans="1:2" x14ac:dyDescent="0.25">
      <c r="A39" s="4">
        <v>173974</v>
      </c>
      <c r="B39" s="5">
        <v>46129.831944444442</v>
      </c>
    </row>
    <row r="40" spans="1:2" x14ac:dyDescent="0.25">
      <c r="A40" s="2" t="s">
        <v>7</v>
      </c>
      <c r="B40" s="5"/>
    </row>
    <row r="41" spans="1:2" x14ac:dyDescent="0.25">
      <c r="A41" s="3">
        <v>0</v>
      </c>
      <c r="B41" s="5"/>
    </row>
    <row r="42" spans="1:2" x14ac:dyDescent="0.25">
      <c r="A42" s="4">
        <v>173938</v>
      </c>
      <c r="B42" s="5">
        <v>46129.515277777777</v>
      </c>
    </row>
    <row r="43" spans="1:2" x14ac:dyDescent="0.25">
      <c r="A43" s="4">
        <v>173939</v>
      </c>
      <c r="B43" s="5">
        <v>46129.703472222223</v>
      </c>
    </row>
    <row r="44" spans="1:2" x14ac:dyDescent="0.25">
      <c r="A44" s="4">
        <v>173622</v>
      </c>
      <c r="B44" s="5">
        <v>46129.89166666667</v>
      </c>
    </row>
    <row r="45" spans="1:2" x14ac:dyDescent="0.25">
      <c r="A45" s="2" t="s">
        <v>12</v>
      </c>
      <c r="B45" s="5"/>
    </row>
    <row r="46" spans="1:2" x14ac:dyDescent="0.25">
      <c r="A46" s="3">
        <v>0</v>
      </c>
      <c r="B46" s="5"/>
    </row>
    <row r="47" spans="1:2" x14ac:dyDescent="0.25">
      <c r="A47" s="4">
        <v>173326</v>
      </c>
      <c r="B47" s="5">
        <v>46129.704861111109</v>
      </c>
    </row>
    <row r="48" spans="1:2" x14ac:dyDescent="0.25">
      <c r="A48" s="4">
        <v>173327</v>
      </c>
      <c r="B48" s="5">
        <v>46129.95</v>
      </c>
    </row>
    <row r="49" spans="1:2" x14ac:dyDescent="0.25">
      <c r="A49" s="2" t="s">
        <v>13</v>
      </c>
      <c r="B49" s="5"/>
    </row>
    <row r="50" spans="1:2" x14ac:dyDescent="0.25">
      <c r="A50" s="3">
        <v>0</v>
      </c>
      <c r="B50" s="5"/>
    </row>
    <row r="51" spans="1:2" x14ac:dyDescent="0.25">
      <c r="A51" s="4">
        <v>173640</v>
      </c>
      <c r="B51" s="5">
        <v>46129.558333333334</v>
      </c>
    </row>
    <row r="52" spans="1:2" x14ac:dyDescent="0.25">
      <c r="A52" s="4">
        <v>173911</v>
      </c>
      <c r="B52" s="5">
        <v>46129.80972222222</v>
      </c>
    </row>
    <row r="53" spans="1:2" x14ac:dyDescent="0.25">
      <c r="A53" s="2" t="s">
        <v>15</v>
      </c>
      <c r="B53" s="5"/>
    </row>
    <row r="54" spans="1:2" x14ac:dyDescent="0.25">
      <c r="A54" s="3">
        <v>0</v>
      </c>
      <c r="B54" s="5"/>
    </row>
    <row r="55" spans="1:2" x14ac:dyDescent="0.25">
      <c r="A55" s="4">
        <v>173615</v>
      </c>
      <c r="B55" s="5">
        <v>46129.536111111112</v>
      </c>
    </row>
    <row r="56" spans="1:2" x14ac:dyDescent="0.25">
      <c r="A56" s="4">
        <v>173629</v>
      </c>
      <c r="B56" s="5">
        <v>46129.700694444444</v>
      </c>
    </row>
    <row r="57" spans="1:2" x14ac:dyDescent="0.25">
      <c r="A57" s="4">
        <v>173601</v>
      </c>
      <c r="B57" s="5">
        <v>46129.787499999999</v>
      </c>
    </row>
    <row r="58" spans="1:2" x14ac:dyDescent="0.25">
      <c r="A58" s="4">
        <v>173609</v>
      </c>
      <c r="B58" s="5">
        <v>46129.913194444445</v>
      </c>
    </row>
    <row r="59" spans="1:2" x14ac:dyDescent="0.25">
      <c r="A59" s="2" t="s">
        <v>8</v>
      </c>
      <c r="B59" s="5"/>
    </row>
    <row r="60" spans="1:2" x14ac:dyDescent="0.25">
      <c r="A60" s="3">
        <v>185904</v>
      </c>
      <c r="B60" s="5"/>
    </row>
    <row r="61" spans="1:2" x14ac:dyDescent="0.25">
      <c r="A61" s="4">
        <v>173552</v>
      </c>
      <c r="B61" s="5">
        <v>46129.505555555559</v>
      </c>
    </row>
    <row r="62" spans="1:2" x14ac:dyDescent="0.25">
      <c r="A62" s="4">
        <v>173551</v>
      </c>
      <c r="B62" s="5">
        <v>46129.505555555559</v>
      </c>
    </row>
    <row r="63" spans="1:2" x14ac:dyDescent="0.25">
      <c r="A63" s="3">
        <v>185903</v>
      </c>
      <c r="B63" s="5"/>
    </row>
    <row r="64" spans="1:2" x14ac:dyDescent="0.25">
      <c r="A64" s="4">
        <v>173553</v>
      </c>
      <c r="B64" s="5">
        <v>46129.70416666667</v>
      </c>
    </row>
    <row r="65" spans="1:2" x14ac:dyDescent="0.25">
      <c r="A65" s="4">
        <v>173554</v>
      </c>
      <c r="B65" s="5">
        <v>46129.70416666667</v>
      </c>
    </row>
    <row r="66" spans="1:2" x14ac:dyDescent="0.25">
      <c r="A66" s="3">
        <v>185902</v>
      </c>
      <c r="B66" s="5"/>
    </row>
    <row r="67" spans="1:2" x14ac:dyDescent="0.25">
      <c r="A67" s="4">
        <v>173555</v>
      </c>
      <c r="B67" s="5">
        <v>46129.902777777781</v>
      </c>
    </row>
    <row r="68" spans="1:2" x14ac:dyDescent="0.25">
      <c r="A68" s="4">
        <v>173556</v>
      </c>
      <c r="B68" s="5">
        <v>46129.902777777781</v>
      </c>
    </row>
    <row r="69" spans="1:2" x14ac:dyDescent="0.25">
      <c r="A69" s="2" t="s">
        <v>9</v>
      </c>
      <c r="B69" s="5"/>
    </row>
    <row r="70" spans="1:2" x14ac:dyDescent="0.25">
      <c r="A70" s="3">
        <v>0</v>
      </c>
      <c r="B70" s="5"/>
    </row>
    <row r="71" spans="1:2" x14ac:dyDescent="0.25">
      <c r="A71" s="4">
        <v>172694</v>
      </c>
      <c r="B71" s="5">
        <v>46129.245138888888</v>
      </c>
    </row>
    <row r="72" spans="1:2" x14ac:dyDescent="0.25">
      <c r="A72" s="4">
        <v>172669</v>
      </c>
      <c r="B72" s="5">
        <v>46129.508333333331</v>
      </c>
    </row>
    <row r="73" spans="1:2" x14ac:dyDescent="0.25">
      <c r="A73" s="4">
        <v>172670</v>
      </c>
      <c r="B73" s="5">
        <v>46129.657638888886</v>
      </c>
    </row>
    <row r="74" spans="1:2" x14ac:dyDescent="0.25">
      <c r="A74" s="4">
        <v>172671</v>
      </c>
      <c r="B74" s="5">
        <v>46129.806944444441</v>
      </c>
    </row>
    <row r="75" spans="1:2" x14ac:dyDescent="0.25">
      <c r="A75" s="4">
        <v>172696</v>
      </c>
      <c r="B75" s="5">
        <v>46129.956250000003</v>
      </c>
    </row>
    <row r="76" spans="1:2" x14ac:dyDescent="0.25">
      <c r="A76" s="2" t="s">
        <v>14</v>
      </c>
      <c r="B76" s="5"/>
    </row>
    <row r="77" spans="1:2" x14ac:dyDescent="0.25">
      <c r="A77" s="3">
        <v>185908</v>
      </c>
      <c r="B77" s="5"/>
    </row>
    <row r="78" spans="1:2" x14ac:dyDescent="0.25">
      <c r="A78" s="4">
        <v>173568</v>
      </c>
      <c r="B78" s="5">
        <v>46129.554861111108</v>
      </c>
    </row>
    <row r="79" spans="1:2" x14ac:dyDescent="0.25">
      <c r="A79" s="4">
        <v>173567</v>
      </c>
      <c r="B79" s="5">
        <v>46129.554861111108</v>
      </c>
    </row>
    <row r="80" spans="1:2" x14ac:dyDescent="0.25">
      <c r="A80" s="3">
        <v>185911</v>
      </c>
      <c r="B80" s="5"/>
    </row>
    <row r="81" spans="1:2" x14ac:dyDescent="0.25">
      <c r="A81" s="4">
        <v>173562</v>
      </c>
      <c r="B81" s="5">
        <v>46129.781944444447</v>
      </c>
    </row>
    <row r="82" spans="1:2" x14ac:dyDescent="0.25">
      <c r="A82" s="4">
        <v>173561</v>
      </c>
      <c r="B82" s="5">
        <v>46129.781944444447</v>
      </c>
    </row>
    <row r="83" spans="1:2" x14ac:dyDescent="0.25">
      <c r="A83" s="2" t="s">
        <v>1</v>
      </c>
      <c r="B83" s="5">
        <v>46129.245138888888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2026-04-17T10:05:19Z</dcterms:modified>
</cp:coreProperties>
</file>