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Emitidas\"/>
    </mc:Choice>
  </mc:AlternateContent>
  <xr:revisionPtr revIDLastSave="0" documentId="13_ncr:1_{B626B9EF-4BC9-40BC-A60A-9B6491A386C8}" xr6:coauthVersionLast="47" xr6:coauthVersionMax="47" xr10:uidLastSave="{00000000-0000-0000-0000-000000000000}"/>
  <bookViews>
    <workbookView xWindow="-120" yWindow="-120" windowWidth="38640" windowHeight="15840" xr2:uid="{E36E89AB-B6B3-4723-B386-2AC7DD1FA543}"/>
  </bookViews>
  <sheets>
    <sheet name="ControleReceitasEmitidas" sheetId="5" r:id="rId1"/>
  </sheets>
  <calcPr calcId="191029" iterate="1"/>
  <pivotCaches>
    <pivotCache cacheId="4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42E38E-0E6A-4A21-B4DC-850A04C6ADA0}" keepAlive="1" name="Consulta - ControleReceitasEmitidas" description="Conexão com a consulta 'ControleReceitasEmitidas' na pasta de trabalho." type="5" refreshedVersion="7" saveData="1">
    <dbPr connection="Provider=Microsoft.Mashup.OleDb.1;Data Source=$Workbook$;Location=ControleReceitasEmitidas;Extended Properties=&quot;&quot;" command="SELECT * FROM [ControleReceitasEmitidas]"/>
  </connection>
</connections>
</file>

<file path=xl/sharedStrings.xml><?xml version="1.0" encoding="utf-8"?>
<sst xmlns="http://schemas.openxmlformats.org/spreadsheetml/2006/main" count="15" uniqueCount="15">
  <si>
    <t>PESADA</t>
  </si>
  <si>
    <t>Total Geral</t>
  </si>
  <si>
    <t>NÃO</t>
  </si>
  <si>
    <t>MQ01</t>
  </si>
  <si>
    <t>Máq./Grupo/Nº OB</t>
  </si>
  <si>
    <t>Início do Tingimento</t>
  </si>
  <si>
    <t>MQ02</t>
  </si>
  <si>
    <t>MQ05</t>
  </si>
  <si>
    <t>MQ08</t>
  </si>
  <si>
    <t>MQ09</t>
  </si>
  <si>
    <t>MQ10</t>
  </si>
  <si>
    <t>MQ03</t>
  </si>
  <si>
    <t>MQ04</t>
  </si>
  <si>
    <t>MQ06</t>
  </si>
  <si>
    <t>MQ07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</si>
</sst>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briel Dias Nunes Neto" refreshedDate="46101.447057060184" missingItemsLimit="0" createdVersion="7" refreshedVersion="7" minRefreshableVersion="3" recordCount="84" xr:uid="{088AC9E7-39B8-4A43-B54B-DF415EDABC53}">
  <cacheSource type="external" connectionId="1"/>
  <cacheFields count="15">
    <cacheField name="GRUPO" numFmtId="0">
      <sharedItems containsSemiMixedTypes="0" containsString="0" containsNumber="1" containsInteger="1" minValue="0" maxValue="185558" count="12">
        <n v="0"/>
        <n v="185509"/>
        <n v="185558"/>
        <n v="185534"/>
        <n v="185550"/>
        <n v="185554"/>
        <n v="185529"/>
        <n v="185545"/>
        <n v="185549"/>
        <n v="185553"/>
        <n v="185470"/>
        <n v="185548"/>
      </sharedItems>
    </cacheField>
    <cacheField name="NUMERO_OB" numFmtId="0">
      <sharedItems containsSemiMixedTypes="0" containsString="0" containsNumber="1" containsInteger="1" minValue="169933" maxValue="171539" count="84">
        <n v="170402"/>
        <n v="170665"/>
        <n v="170095"/>
        <n v="170953"/>
        <n v="170706"/>
        <n v="170707"/>
        <n v="170523"/>
        <n v="170524"/>
        <n v="171437"/>
        <n v="170946"/>
        <n v="170482"/>
        <n v="170445"/>
        <n v="170961"/>
        <n v="170701"/>
        <n v="170822"/>
        <n v="171271"/>
        <n v="171132"/>
        <n v="170823"/>
        <n v="170820"/>
        <n v="170847"/>
        <n v="170828"/>
        <n v="170819"/>
        <n v="170982"/>
        <n v="170848"/>
        <n v="170821"/>
        <n v="170797"/>
        <n v="170796"/>
        <n v="171299"/>
        <n v="170532"/>
        <n v="170951"/>
        <n v="170952"/>
        <n v="171365"/>
        <n v="170965"/>
        <n v="170964"/>
        <n v="171177"/>
        <n v="171175"/>
        <n v="170948"/>
        <n v="171454"/>
        <n v="170949"/>
        <n v="169933"/>
        <n v="170688"/>
        <n v="170526"/>
        <n v="171538"/>
        <n v="171539"/>
        <n v="171300"/>
        <n v="170663"/>
        <n v="170547"/>
        <n v="170468"/>
        <n v="170444"/>
        <n v="170954"/>
        <n v="170955"/>
        <n v="170967"/>
        <n v="170966"/>
        <n v="170475"/>
        <n v="170520"/>
        <n v="171422"/>
        <n v="169934"/>
        <n v="171301"/>
        <n v="169935"/>
        <n v="170736"/>
        <n v="171021"/>
        <n v="171206"/>
        <n v="171057"/>
        <n v="170843"/>
        <n v="170589"/>
        <n v="170086"/>
        <n v="171135"/>
        <n v="171134"/>
        <n v="171136"/>
        <n v="171286"/>
        <n v="170805"/>
        <n v="171213"/>
        <n v="170835"/>
        <n v="170959"/>
        <n v="170957"/>
        <n v="170956"/>
        <n v="171462"/>
        <n v="171423"/>
        <n v="169936"/>
        <n v="170489"/>
        <n v="170702"/>
        <n v="169946"/>
        <n v="170947"/>
        <n v="170510"/>
      </sharedItems>
    </cacheField>
    <cacheField name="PESADA" numFmtId="0">
      <sharedItems count="2">
        <s v="SIM"/>
        <s v="NÃO"/>
      </sharedItems>
    </cacheField>
    <cacheField name="MQ_TING" numFmtId="0">
      <sharedItems count="11">
        <s v="MQ06"/>
        <s v="MQ03"/>
        <s v="MQ07"/>
        <s v="MQ02"/>
        <s v="MQ09"/>
        <s v="MQ11"/>
        <s v="MQ01"/>
        <s v="MQ05"/>
        <s v="MQ04"/>
        <s v="MQ10"/>
        <s v="MQ08"/>
      </sharedItems>
    </cacheField>
    <cacheField name="INICIO_TING" numFmtId="0">
      <sharedItems containsSemiMixedTypes="0" containsNonDate="0" containsDate="1" containsString="0" minDate="2026-03-20T03:53:00" maxDate="2026-03-24T01:11:00"/>
    </cacheField>
    <cacheField name="FINAL_TING" numFmtId="0">
      <sharedItems containsSemiMixedTypes="0" containsNonDate="0" containsDate="1" containsString="0" minDate="2026-03-20T11:07:00" maxDate="2026-03-24T02:51:00"/>
    </cacheField>
    <cacheField name="ARTIGO" numFmtId="0">
      <sharedItems count="18">
        <s v="00014     "/>
        <s v="00030     "/>
        <s v="00018     "/>
        <s v="00189     "/>
        <s v="00184     "/>
        <s v="00032     "/>
        <s v="00149     "/>
        <s v="00031     "/>
        <s v="00034     "/>
        <s v="00010     "/>
        <s v="00044     "/>
        <s v="00016     "/>
        <s v="00024     "/>
        <s v="00207     "/>
        <s v="00142     "/>
        <s v="00015     "/>
        <s v="00022     "/>
        <s v="00178     "/>
      </sharedItems>
    </cacheField>
    <cacheField name="REDUZIDO" numFmtId="0">
      <sharedItems containsSemiMixedTypes="0" containsString="0" containsNumber="1" containsInteger="1" minValue="208" maxValue="22649"/>
    </cacheField>
    <cacheField name="DESCRICAO" numFmtId="0">
      <sharedItems/>
    </cacheField>
    <cacheField name="FASE_ATUAL" numFmtId="0">
      <sharedItems count="2">
        <s v="TIN-TINGIMENTO"/>
        <s v="RMC-REVISÃO MALHA CRUA"/>
      </sharedItems>
    </cacheField>
    <cacheField name="STATUS_FASE" numFmtId="0">
      <sharedItems count="4">
        <s v="EM EXECUÇÃO"/>
        <s v="EMITIDA"/>
        <s v="PROGRAMADA"/>
        <s v="PESADA"/>
      </sharedItems>
    </cacheField>
    <cacheField name="USUARIO" numFmtId="0">
      <sharedItems containsBlank="1" count="5">
        <s v="PETERSON ALEXANDRE FELIZARDO"/>
        <s v="GLEVID AVISAI  CEDEÑO  MOLINA"/>
        <s v="LUAN CARLOS DEGAN"/>
        <m/>
        <s v="FABIO DOS SANTOS MACIEL"/>
      </sharedItems>
    </cacheField>
    <cacheField name="HORARIO_PESADO" numFmtId="0">
      <sharedItems containsNonDate="0" containsDate="1" containsString="0" containsBlank="1" minDate="2026-03-18T15:53:05" maxDate="2026-03-20T09:58:41" count="22">
        <d v="2026-03-19T23:19:59"/>
        <d v="2026-03-18T15:53:05"/>
        <d v="2026-03-20T01:28:49"/>
        <d v="2026-03-20T01:37:49"/>
        <d v="2026-03-20T01:34:45"/>
        <d v="2026-03-20T02:15:00"/>
        <d v="2026-03-19T22:50:28"/>
        <d v="2026-03-20T07:25:37"/>
        <d v="2026-03-19T23:07:55"/>
        <m/>
        <d v="2026-03-19T22:43:47"/>
        <d v="2026-03-20T01:07:50"/>
        <d v="2026-03-20T00:57:57"/>
        <d v="2026-03-20T01:32:20"/>
        <d v="2026-03-20T07:48:03"/>
        <d v="2026-03-20T09:41:32"/>
        <d v="2026-03-20T08:09:47"/>
        <d v="2026-03-20T09:15:43"/>
        <d v="2026-03-20T09:30:42"/>
        <d v="2026-03-20T09:03:58"/>
        <d v="2026-03-20T09:58:41"/>
        <d v="2026-03-20T09:36:39"/>
      </sharedItems>
    </cacheField>
    <cacheField name="DIAS_PESADO" numFmtId="0">
      <sharedItems containsString="0" containsBlank="1" containsNumber="1" minValue="0.03" maxValue="1.79" count="18">
        <n v="0.47"/>
        <n v="1.79"/>
        <n v="0.39"/>
        <n v="0.38"/>
        <n v="0.35"/>
        <n v="0.5"/>
        <n v="0.14000000000000001"/>
        <n v="0.48"/>
        <m/>
        <n v="0.4"/>
        <n v="0.41"/>
        <n v="0.12"/>
        <n v="0.04"/>
        <n v="0.11"/>
        <n v="0.06"/>
        <n v="0.05"/>
        <n v="7.0000000000000007E-2"/>
        <n v="0.03"/>
      </sharedItems>
    </cacheField>
    <cacheField name="QUANT_PESADA" numFmtId="0">
      <sharedItems containsSemiMixedTypes="0" containsString="0" containsNumber="1" minValue="0" maxValue="158.73099999999999" count="22">
        <n v="11.186"/>
        <n v="42.642000000000003"/>
        <n v="34.847999999999999"/>
        <n v="78.123999999999995"/>
        <n v="152.53399999999999"/>
        <n v="61.774999999999999"/>
        <n v="18.385000000000002"/>
        <n v="0.40566999999999998"/>
        <n v="15.803000000000001"/>
        <n v="0"/>
        <n v="7.0350000000000001"/>
        <n v="38.267000000000003"/>
        <n v="21.763770000000001"/>
        <n v="158.73099999999999"/>
        <n v="36.636000000000003"/>
        <n v="3.5089999999999999"/>
        <n v="34.762999999999998"/>
        <n v="17.191749999999999"/>
        <n v="16.526"/>
        <n v="61.677"/>
        <n v="37.731999999999999"/>
        <n v="0.4664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4">
  <r>
    <x v="0"/>
    <x v="0"/>
    <x v="0"/>
    <x v="0"/>
    <d v="2026-03-20T03:53:00"/>
    <d v="2026-03-20T12:37:00"/>
    <x v="0"/>
    <n v="656"/>
    <s v="RIBANA 2X1 24/1 PA VERDE BANDEIRA"/>
    <x v="0"/>
    <x v="0"/>
    <x v="0"/>
    <x v="0"/>
    <x v="0"/>
    <x v="0"/>
  </r>
  <r>
    <x v="0"/>
    <x v="1"/>
    <x v="0"/>
    <x v="1"/>
    <d v="2026-03-20T05:01:00"/>
    <d v="2026-03-20T11:38:00"/>
    <x v="1"/>
    <n v="5423"/>
    <s v="M/M 30/1 CARDADA OE VERDE BANDEIRA"/>
    <x v="0"/>
    <x v="0"/>
    <x v="1"/>
    <x v="1"/>
    <x v="1"/>
    <x v="1"/>
  </r>
  <r>
    <x v="0"/>
    <x v="2"/>
    <x v="0"/>
    <x v="2"/>
    <d v="2026-03-20T05:29:00"/>
    <d v="2026-03-20T11:31:00"/>
    <x v="2"/>
    <n v="2005"/>
    <s v="PIQUE PA PRETO"/>
    <x v="0"/>
    <x v="0"/>
    <x v="0"/>
    <x v="2"/>
    <x v="2"/>
    <x v="2"/>
  </r>
  <r>
    <x v="0"/>
    <x v="3"/>
    <x v="0"/>
    <x v="3"/>
    <d v="2026-03-20T06:22:00"/>
    <d v="2026-03-20T11:07:00"/>
    <x v="3"/>
    <n v="11944"/>
    <s v="VISCOLYCRA VORTEX PRETO"/>
    <x v="0"/>
    <x v="0"/>
    <x v="0"/>
    <x v="3"/>
    <x v="3"/>
    <x v="3"/>
  </r>
  <r>
    <x v="1"/>
    <x v="4"/>
    <x v="0"/>
    <x v="4"/>
    <d v="2026-03-20T06:35:00"/>
    <d v="2026-03-20T11:40:00"/>
    <x v="3"/>
    <n v="11944"/>
    <s v="VISCOLYCRA VORTEX PRETO"/>
    <x v="0"/>
    <x v="0"/>
    <x v="0"/>
    <x v="4"/>
    <x v="3"/>
    <x v="4"/>
  </r>
  <r>
    <x v="1"/>
    <x v="5"/>
    <x v="0"/>
    <x v="4"/>
    <d v="2026-03-20T06:35:00"/>
    <d v="2026-03-20T11:40:00"/>
    <x v="3"/>
    <n v="11944"/>
    <s v="VISCOLYCRA VORTEX PRETO"/>
    <x v="0"/>
    <x v="0"/>
    <x v="0"/>
    <x v="4"/>
    <x v="3"/>
    <x v="4"/>
  </r>
  <r>
    <x v="2"/>
    <x v="6"/>
    <x v="0"/>
    <x v="5"/>
    <d v="2026-03-20T08:05:00"/>
    <d v="2026-03-20T11:54:00"/>
    <x v="4"/>
    <n v="3695"/>
    <s v="POLIÉSTER FIADO VERDE BANDEIRA"/>
    <x v="0"/>
    <x v="0"/>
    <x v="0"/>
    <x v="5"/>
    <x v="4"/>
    <x v="5"/>
  </r>
  <r>
    <x v="2"/>
    <x v="7"/>
    <x v="0"/>
    <x v="5"/>
    <d v="2026-03-20T08:05:00"/>
    <d v="2026-03-20T11:54:00"/>
    <x v="4"/>
    <n v="3695"/>
    <s v="POLIÉSTER FIADO VERDE BANDEIRA"/>
    <x v="0"/>
    <x v="0"/>
    <x v="0"/>
    <x v="5"/>
    <x v="4"/>
    <x v="5"/>
  </r>
  <r>
    <x v="0"/>
    <x v="8"/>
    <x v="0"/>
    <x v="6"/>
    <d v="2026-03-20T08:32:00"/>
    <d v="2026-03-20T14:32:00"/>
    <x v="5"/>
    <n v="1412"/>
    <s v="M/M 30/1 PENTEADO AMARELO CANÁRIO"/>
    <x v="0"/>
    <x v="0"/>
    <x v="0"/>
    <x v="6"/>
    <x v="5"/>
    <x v="6"/>
  </r>
  <r>
    <x v="0"/>
    <x v="9"/>
    <x v="0"/>
    <x v="7"/>
    <d v="2026-03-20T08:39:00"/>
    <d v="2026-03-20T11:44:00"/>
    <x v="6"/>
    <n v="371"/>
    <s v="HELANCA SUEDINE 100%CO AMARELO BEBÊ"/>
    <x v="0"/>
    <x v="0"/>
    <x v="2"/>
    <x v="7"/>
    <x v="6"/>
    <x v="7"/>
  </r>
  <r>
    <x v="0"/>
    <x v="10"/>
    <x v="0"/>
    <x v="8"/>
    <d v="2026-03-20T09:21:00"/>
    <d v="2026-03-20T15:58:00"/>
    <x v="6"/>
    <n v="3488"/>
    <s v="HELANCA SUEDINE 100%CO VERDE ESPECIAL"/>
    <x v="0"/>
    <x v="0"/>
    <x v="0"/>
    <x v="8"/>
    <x v="7"/>
    <x v="8"/>
  </r>
  <r>
    <x v="0"/>
    <x v="11"/>
    <x v="1"/>
    <x v="9"/>
    <d v="2026-03-20T09:59:00"/>
    <d v="2026-03-20T12:42:00"/>
    <x v="5"/>
    <n v="258"/>
    <s v="M/M 30/1 PENTEADO MARFIM"/>
    <x v="0"/>
    <x v="0"/>
    <x v="3"/>
    <x v="9"/>
    <x v="8"/>
    <x v="9"/>
  </r>
  <r>
    <x v="0"/>
    <x v="12"/>
    <x v="0"/>
    <x v="10"/>
    <d v="2026-03-20T10:23:00"/>
    <d v="2026-03-20T15:26:00"/>
    <x v="3"/>
    <n v="15291"/>
    <s v="VISCOLYCRA VORTEX AMARELO CANÁRIO"/>
    <x v="0"/>
    <x v="0"/>
    <x v="0"/>
    <x v="10"/>
    <x v="5"/>
    <x v="10"/>
  </r>
  <r>
    <x v="0"/>
    <x v="13"/>
    <x v="0"/>
    <x v="3"/>
    <d v="2026-03-20T11:08:00"/>
    <d v="2026-03-20T14:48:00"/>
    <x v="4"/>
    <n v="3373"/>
    <s v="POLIESTER FIADO MARINHO"/>
    <x v="0"/>
    <x v="1"/>
    <x v="0"/>
    <x v="11"/>
    <x v="9"/>
    <x v="11"/>
  </r>
  <r>
    <x v="3"/>
    <x v="14"/>
    <x v="1"/>
    <x v="2"/>
    <d v="2026-03-20T11:32:00"/>
    <d v="2026-03-20T15:29:00"/>
    <x v="5"/>
    <n v="1332"/>
    <s v="M/M 30/1 PENTEADO PRETO"/>
    <x v="0"/>
    <x v="1"/>
    <x v="3"/>
    <x v="9"/>
    <x v="8"/>
    <x v="9"/>
  </r>
  <r>
    <x v="3"/>
    <x v="15"/>
    <x v="1"/>
    <x v="2"/>
    <d v="2026-03-20T11:32:00"/>
    <d v="2026-03-20T15:29:00"/>
    <x v="5"/>
    <n v="1332"/>
    <s v="M/M 30/1 PENTEADO PRETO"/>
    <x v="0"/>
    <x v="1"/>
    <x v="3"/>
    <x v="9"/>
    <x v="8"/>
    <x v="9"/>
  </r>
  <r>
    <x v="3"/>
    <x v="16"/>
    <x v="1"/>
    <x v="2"/>
    <d v="2026-03-20T11:32:00"/>
    <d v="2026-03-20T15:29:00"/>
    <x v="5"/>
    <n v="1332"/>
    <s v="M/M 30/1 PENTEADO PRETO"/>
    <x v="0"/>
    <x v="1"/>
    <x v="3"/>
    <x v="9"/>
    <x v="8"/>
    <x v="9"/>
  </r>
  <r>
    <x v="3"/>
    <x v="17"/>
    <x v="1"/>
    <x v="2"/>
    <d v="2026-03-20T11:32:00"/>
    <d v="2026-03-20T15:29:00"/>
    <x v="5"/>
    <n v="1332"/>
    <s v="M/M 30/1 PENTEADO PRETO"/>
    <x v="0"/>
    <x v="1"/>
    <x v="3"/>
    <x v="9"/>
    <x v="8"/>
    <x v="9"/>
  </r>
  <r>
    <x v="3"/>
    <x v="18"/>
    <x v="1"/>
    <x v="2"/>
    <d v="2026-03-20T11:32:00"/>
    <d v="2026-03-20T15:29:00"/>
    <x v="5"/>
    <n v="1332"/>
    <s v="M/M 30/1 PENTEADO PRETO"/>
    <x v="0"/>
    <x v="1"/>
    <x v="3"/>
    <x v="9"/>
    <x v="8"/>
    <x v="9"/>
  </r>
  <r>
    <x v="3"/>
    <x v="19"/>
    <x v="1"/>
    <x v="2"/>
    <d v="2026-03-20T11:32:00"/>
    <d v="2026-03-20T15:29:00"/>
    <x v="5"/>
    <n v="1332"/>
    <s v="M/M 30/1 PENTEADO PRETO"/>
    <x v="0"/>
    <x v="1"/>
    <x v="3"/>
    <x v="9"/>
    <x v="8"/>
    <x v="9"/>
  </r>
  <r>
    <x v="3"/>
    <x v="20"/>
    <x v="1"/>
    <x v="2"/>
    <d v="2026-03-20T11:32:00"/>
    <d v="2026-03-20T15:29:00"/>
    <x v="5"/>
    <n v="1332"/>
    <s v="M/M 30/1 PENTEADO PRETO"/>
    <x v="0"/>
    <x v="1"/>
    <x v="3"/>
    <x v="9"/>
    <x v="8"/>
    <x v="9"/>
  </r>
  <r>
    <x v="3"/>
    <x v="21"/>
    <x v="1"/>
    <x v="2"/>
    <d v="2026-03-20T11:32:00"/>
    <d v="2026-03-20T15:29:00"/>
    <x v="5"/>
    <n v="1332"/>
    <s v="M/M 30/1 PENTEADO PRETO"/>
    <x v="0"/>
    <x v="1"/>
    <x v="3"/>
    <x v="9"/>
    <x v="8"/>
    <x v="9"/>
  </r>
  <r>
    <x v="3"/>
    <x v="22"/>
    <x v="1"/>
    <x v="2"/>
    <d v="2026-03-20T11:32:00"/>
    <d v="2026-03-20T15:29:00"/>
    <x v="5"/>
    <n v="1332"/>
    <s v="M/M 30/1 PENTEADO PRETO"/>
    <x v="0"/>
    <x v="1"/>
    <x v="3"/>
    <x v="9"/>
    <x v="8"/>
    <x v="9"/>
  </r>
  <r>
    <x v="3"/>
    <x v="23"/>
    <x v="1"/>
    <x v="2"/>
    <d v="2026-03-20T11:32:00"/>
    <d v="2026-03-20T15:29:00"/>
    <x v="5"/>
    <n v="1332"/>
    <s v="M/M 30/1 PENTEADO PRETO"/>
    <x v="0"/>
    <x v="1"/>
    <x v="3"/>
    <x v="9"/>
    <x v="8"/>
    <x v="9"/>
  </r>
  <r>
    <x v="3"/>
    <x v="24"/>
    <x v="1"/>
    <x v="2"/>
    <d v="2026-03-20T11:32:00"/>
    <d v="2026-03-20T15:29:00"/>
    <x v="5"/>
    <n v="1332"/>
    <s v="M/M 30/1 PENTEADO PRETO"/>
    <x v="1"/>
    <x v="2"/>
    <x v="3"/>
    <x v="9"/>
    <x v="8"/>
    <x v="9"/>
  </r>
  <r>
    <x v="3"/>
    <x v="25"/>
    <x v="1"/>
    <x v="2"/>
    <d v="2026-03-20T11:32:00"/>
    <d v="2026-03-20T15:29:00"/>
    <x v="7"/>
    <n v="22381"/>
    <s v="M/M 30/1 CARDADA OE LIGHT PRETO"/>
    <x v="0"/>
    <x v="1"/>
    <x v="3"/>
    <x v="9"/>
    <x v="8"/>
    <x v="9"/>
  </r>
  <r>
    <x v="3"/>
    <x v="26"/>
    <x v="1"/>
    <x v="2"/>
    <d v="2026-03-20T11:32:00"/>
    <d v="2026-03-20T15:29:00"/>
    <x v="7"/>
    <n v="22381"/>
    <s v="M/M 30/1 CARDADA OE LIGHT PRETO"/>
    <x v="0"/>
    <x v="1"/>
    <x v="3"/>
    <x v="9"/>
    <x v="8"/>
    <x v="9"/>
  </r>
  <r>
    <x v="3"/>
    <x v="27"/>
    <x v="1"/>
    <x v="2"/>
    <d v="2026-03-20T11:32:00"/>
    <d v="2026-03-20T15:29:00"/>
    <x v="8"/>
    <n v="1333"/>
    <s v="M/M 30/1 PA PRETO 1F"/>
    <x v="0"/>
    <x v="1"/>
    <x v="3"/>
    <x v="9"/>
    <x v="8"/>
    <x v="9"/>
  </r>
  <r>
    <x v="0"/>
    <x v="28"/>
    <x v="0"/>
    <x v="1"/>
    <d v="2026-03-20T11:39:00"/>
    <d v="2026-03-20T14:58:00"/>
    <x v="4"/>
    <n v="3486"/>
    <s v="POLIÉSTER FIADO TURQUESA"/>
    <x v="0"/>
    <x v="3"/>
    <x v="0"/>
    <x v="12"/>
    <x v="10"/>
    <x v="12"/>
  </r>
  <r>
    <x v="4"/>
    <x v="29"/>
    <x v="0"/>
    <x v="4"/>
    <d v="2026-03-20T11:41:00"/>
    <d v="2026-03-20T16:26:00"/>
    <x v="3"/>
    <n v="11944"/>
    <s v="VISCOLYCRA VORTEX PRETO"/>
    <x v="0"/>
    <x v="1"/>
    <x v="0"/>
    <x v="13"/>
    <x v="3"/>
    <x v="13"/>
  </r>
  <r>
    <x v="4"/>
    <x v="30"/>
    <x v="0"/>
    <x v="4"/>
    <d v="2026-03-20T11:41:00"/>
    <d v="2026-03-20T16:26:00"/>
    <x v="3"/>
    <n v="11944"/>
    <s v="VISCOLYCRA VORTEX PRETO"/>
    <x v="0"/>
    <x v="1"/>
    <x v="0"/>
    <x v="13"/>
    <x v="3"/>
    <x v="13"/>
  </r>
  <r>
    <x v="0"/>
    <x v="31"/>
    <x v="1"/>
    <x v="7"/>
    <d v="2026-03-20T11:45:00"/>
    <d v="2026-03-20T13:54:00"/>
    <x v="0"/>
    <n v="249"/>
    <s v="RIBANA 2X1 24/1 PA MARFIM 1F"/>
    <x v="1"/>
    <x v="0"/>
    <x v="3"/>
    <x v="9"/>
    <x v="8"/>
    <x v="9"/>
  </r>
  <r>
    <x v="5"/>
    <x v="32"/>
    <x v="0"/>
    <x v="5"/>
    <d v="2026-03-20T11:55:00"/>
    <d v="2026-03-20T17:21:00"/>
    <x v="3"/>
    <n v="17151"/>
    <s v="VISCOLYCRA VORTEX MARROM"/>
    <x v="0"/>
    <x v="3"/>
    <x v="4"/>
    <x v="14"/>
    <x v="11"/>
    <x v="14"/>
  </r>
  <r>
    <x v="5"/>
    <x v="33"/>
    <x v="0"/>
    <x v="5"/>
    <d v="2026-03-20T11:55:00"/>
    <d v="2026-03-20T17:21:00"/>
    <x v="3"/>
    <n v="17151"/>
    <s v="VISCOLYCRA VORTEX MARROM"/>
    <x v="0"/>
    <x v="3"/>
    <x v="4"/>
    <x v="14"/>
    <x v="11"/>
    <x v="14"/>
  </r>
  <r>
    <x v="6"/>
    <x v="34"/>
    <x v="1"/>
    <x v="0"/>
    <d v="2026-03-20T12:38:00"/>
    <d v="2026-03-20T19:34:00"/>
    <x v="9"/>
    <n v="10475"/>
    <s v="RIBANA 30/1 OE ROYAL"/>
    <x v="0"/>
    <x v="1"/>
    <x v="3"/>
    <x v="9"/>
    <x v="8"/>
    <x v="9"/>
  </r>
  <r>
    <x v="6"/>
    <x v="35"/>
    <x v="1"/>
    <x v="0"/>
    <d v="2026-03-20T12:38:00"/>
    <d v="2026-03-20T19:34:00"/>
    <x v="5"/>
    <n v="1442"/>
    <s v="M/M 30/1 PENTEADO ROYAL"/>
    <x v="0"/>
    <x v="1"/>
    <x v="3"/>
    <x v="9"/>
    <x v="8"/>
    <x v="9"/>
  </r>
  <r>
    <x v="0"/>
    <x v="36"/>
    <x v="1"/>
    <x v="9"/>
    <d v="2026-03-20T12:43:00"/>
    <d v="2026-03-20T14:29:00"/>
    <x v="3"/>
    <n v="12246"/>
    <s v="VISCOLYCRA VORTEX MARFIM"/>
    <x v="0"/>
    <x v="1"/>
    <x v="3"/>
    <x v="9"/>
    <x v="8"/>
    <x v="9"/>
  </r>
  <r>
    <x v="0"/>
    <x v="37"/>
    <x v="1"/>
    <x v="7"/>
    <d v="2026-03-20T13:55:00"/>
    <d v="2026-03-20T16:04:00"/>
    <x v="10"/>
    <n v="261"/>
    <s v="COTTON 4% OE MARFIM"/>
    <x v="0"/>
    <x v="1"/>
    <x v="3"/>
    <x v="9"/>
    <x v="8"/>
    <x v="9"/>
  </r>
  <r>
    <x v="0"/>
    <x v="38"/>
    <x v="1"/>
    <x v="9"/>
    <d v="2026-03-20T14:30:00"/>
    <d v="2026-03-20T16:16:00"/>
    <x v="3"/>
    <n v="12246"/>
    <s v="VISCOLYCRA VORTEX MARFIM"/>
    <x v="1"/>
    <x v="2"/>
    <x v="3"/>
    <x v="9"/>
    <x v="8"/>
    <x v="9"/>
  </r>
  <r>
    <x v="0"/>
    <x v="39"/>
    <x v="0"/>
    <x v="6"/>
    <d v="2026-03-20T14:33:00"/>
    <d v="2026-03-20T15:59:00"/>
    <x v="4"/>
    <n v="1825"/>
    <s v="POLIÉSTER FIADO BRANCO"/>
    <x v="0"/>
    <x v="3"/>
    <x v="4"/>
    <x v="15"/>
    <x v="12"/>
    <x v="15"/>
  </r>
  <r>
    <x v="0"/>
    <x v="40"/>
    <x v="0"/>
    <x v="3"/>
    <d v="2026-03-20T14:49:00"/>
    <d v="2026-03-20T20:50:00"/>
    <x v="5"/>
    <n v="1352"/>
    <s v="M/M 30/1 PENTEADO CHUMBO"/>
    <x v="0"/>
    <x v="3"/>
    <x v="4"/>
    <x v="16"/>
    <x v="13"/>
    <x v="16"/>
  </r>
  <r>
    <x v="0"/>
    <x v="41"/>
    <x v="0"/>
    <x v="1"/>
    <d v="2026-03-20T14:59:00"/>
    <d v="2026-03-20T18:18:00"/>
    <x v="4"/>
    <n v="3484"/>
    <s v="POLIÉSTER FIADO PETRÓLEO"/>
    <x v="0"/>
    <x v="3"/>
    <x v="4"/>
    <x v="17"/>
    <x v="14"/>
    <x v="17"/>
  </r>
  <r>
    <x v="7"/>
    <x v="42"/>
    <x v="1"/>
    <x v="10"/>
    <d v="2026-03-20T15:27:00"/>
    <d v="2026-03-20T23:45:00"/>
    <x v="2"/>
    <n v="3886"/>
    <s v="PIQUE PA AMARELO OURO"/>
    <x v="1"/>
    <x v="2"/>
    <x v="3"/>
    <x v="9"/>
    <x v="8"/>
    <x v="9"/>
  </r>
  <r>
    <x v="7"/>
    <x v="43"/>
    <x v="1"/>
    <x v="10"/>
    <d v="2026-03-20T15:27:00"/>
    <d v="2026-03-20T23:45:00"/>
    <x v="11"/>
    <n v="697"/>
    <s v="GOLA PA AMARELO OURO"/>
    <x v="1"/>
    <x v="2"/>
    <x v="3"/>
    <x v="9"/>
    <x v="8"/>
    <x v="9"/>
  </r>
  <r>
    <x v="0"/>
    <x v="44"/>
    <x v="1"/>
    <x v="2"/>
    <d v="2026-03-20T15:30:00"/>
    <d v="2026-03-20T19:27:00"/>
    <x v="12"/>
    <n v="1328"/>
    <s v="M/M 24/1 18 TRAMAS PRETO"/>
    <x v="0"/>
    <x v="1"/>
    <x v="3"/>
    <x v="9"/>
    <x v="8"/>
    <x v="9"/>
  </r>
  <r>
    <x v="0"/>
    <x v="45"/>
    <x v="0"/>
    <x v="8"/>
    <d v="2026-03-20T15:59:00"/>
    <d v="2026-03-20T22:26:00"/>
    <x v="1"/>
    <n v="5713"/>
    <s v="M/M 30/1 CARDADA OE VERDE ESPECIAL"/>
    <x v="0"/>
    <x v="3"/>
    <x v="4"/>
    <x v="18"/>
    <x v="15"/>
    <x v="18"/>
  </r>
  <r>
    <x v="0"/>
    <x v="46"/>
    <x v="1"/>
    <x v="6"/>
    <d v="2026-03-20T16:00:00"/>
    <d v="2026-03-20T19:22:00"/>
    <x v="13"/>
    <n v="230"/>
    <s v="SUPLEX LIGHT UV 50+ BRANCO"/>
    <x v="1"/>
    <x v="2"/>
    <x v="3"/>
    <x v="9"/>
    <x v="8"/>
    <x v="9"/>
  </r>
  <r>
    <x v="0"/>
    <x v="47"/>
    <x v="1"/>
    <x v="7"/>
    <d v="2026-03-20T16:05:00"/>
    <d v="2026-03-20T18:09:00"/>
    <x v="14"/>
    <n v="1654"/>
    <s v="HELANQUINHA DRY FIT BRANCO"/>
    <x v="1"/>
    <x v="2"/>
    <x v="3"/>
    <x v="9"/>
    <x v="8"/>
    <x v="9"/>
  </r>
  <r>
    <x v="0"/>
    <x v="48"/>
    <x v="1"/>
    <x v="9"/>
    <d v="2026-03-20T16:17:00"/>
    <d v="2026-03-20T18:40:00"/>
    <x v="5"/>
    <n v="258"/>
    <s v="M/M 30/1 PENTEADO MARFIM"/>
    <x v="1"/>
    <x v="2"/>
    <x v="3"/>
    <x v="9"/>
    <x v="8"/>
    <x v="9"/>
  </r>
  <r>
    <x v="8"/>
    <x v="49"/>
    <x v="0"/>
    <x v="4"/>
    <d v="2026-03-20T16:27:00"/>
    <d v="2026-03-20T21:53:00"/>
    <x v="3"/>
    <n v="12247"/>
    <s v="VISCOLYCRA VORTEX MARINHO"/>
    <x v="0"/>
    <x v="3"/>
    <x v="4"/>
    <x v="19"/>
    <x v="16"/>
    <x v="19"/>
  </r>
  <r>
    <x v="8"/>
    <x v="50"/>
    <x v="0"/>
    <x v="4"/>
    <d v="2026-03-20T16:27:00"/>
    <d v="2026-03-20T21:53:00"/>
    <x v="3"/>
    <n v="12247"/>
    <s v="VISCOLYCRA VORTEX MARINHO"/>
    <x v="0"/>
    <x v="3"/>
    <x v="4"/>
    <x v="19"/>
    <x v="16"/>
    <x v="19"/>
  </r>
  <r>
    <x v="9"/>
    <x v="51"/>
    <x v="0"/>
    <x v="5"/>
    <d v="2026-03-20T17:22:00"/>
    <d v="2026-03-20T22:48:00"/>
    <x v="3"/>
    <n v="17151"/>
    <s v="VISCOLYCRA VORTEX MARROM"/>
    <x v="0"/>
    <x v="3"/>
    <x v="4"/>
    <x v="20"/>
    <x v="17"/>
    <x v="20"/>
  </r>
  <r>
    <x v="9"/>
    <x v="52"/>
    <x v="0"/>
    <x v="5"/>
    <d v="2026-03-20T17:22:00"/>
    <d v="2026-03-20T22:48:00"/>
    <x v="3"/>
    <n v="17151"/>
    <s v="VISCOLYCRA VORTEX MARROM"/>
    <x v="0"/>
    <x v="3"/>
    <x v="4"/>
    <x v="20"/>
    <x v="17"/>
    <x v="20"/>
  </r>
  <r>
    <x v="0"/>
    <x v="53"/>
    <x v="1"/>
    <x v="7"/>
    <d v="2026-03-20T18:10:00"/>
    <d v="2026-03-20T22:05:00"/>
    <x v="14"/>
    <n v="269"/>
    <s v="HELANQUINHA DRY FIT MARFIM"/>
    <x v="1"/>
    <x v="2"/>
    <x v="3"/>
    <x v="9"/>
    <x v="8"/>
    <x v="9"/>
  </r>
  <r>
    <x v="0"/>
    <x v="54"/>
    <x v="1"/>
    <x v="1"/>
    <d v="2026-03-20T18:19:00"/>
    <d v="2026-03-20T21:32:00"/>
    <x v="4"/>
    <n v="3491"/>
    <s v="POLIESTER FIADO CHUMBO"/>
    <x v="1"/>
    <x v="0"/>
    <x v="3"/>
    <x v="9"/>
    <x v="8"/>
    <x v="9"/>
  </r>
  <r>
    <x v="0"/>
    <x v="55"/>
    <x v="1"/>
    <x v="9"/>
    <d v="2026-03-20T18:41:00"/>
    <d v="2026-03-20T22:15:00"/>
    <x v="5"/>
    <n v="208"/>
    <s v="M/M 30/1 PENTEADO BRANCO"/>
    <x v="1"/>
    <x v="2"/>
    <x v="3"/>
    <x v="9"/>
    <x v="8"/>
    <x v="9"/>
  </r>
  <r>
    <x v="0"/>
    <x v="56"/>
    <x v="1"/>
    <x v="6"/>
    <d v="2026-03-20T19:23:00"/>
    <d v="2026-03-20T20:49:00"/>
    <x v="4"/>
    <n v="1825"/>
    <s v="POLIÉSTER FIADO BRANCO"/>
    <x v="0"/>
    <x v="1"/>
    <x v="3"/>
    <x v="9"/>
    <x v="8"/>
    <x v="9"/>
  </r>
  <r>
    <x v="0"/>
    <x v="57"/>
    <x v="1"/>
    <x v="2"/>
    <d v="2026-03-20T19:28:00"/>
    <d v="2026-03-20T23:25:00"/>
    <x v="12"/>
    <n v="1328"/>
    <s v="M/M 24/1 18 TRAMAS PRETO"/>
    <x v="0"/>
    <x v="1"/>
    <x v="3"/>
    <x v="9"/>
    <x v="8"/>
    <x v="9"/>
  </r>
  <r>
    <x v="0"/>
    <x v="58"/>
    <x v="1"/>
    <x v="6"/>
    <d v="2026-03-20T20:50:00"/>
    <d v="2026-03-20T22:16:00"/>
    <x v="4"/>
    <n v="1825"/>
    <s v="POLIÉSTER FIADO BRANCO"/>
    <x v="0"/>
    <x v="1"/>
    <x v="3"/>
    <x v="9"/>
    <x v="8"/>
    <x v="9"/>
  </r>
  <r>
    <x v="10"/>
    <x v="59"/>
    <x v="1"/>
    <x v="3"/>
    <d v="2026-03-20T20:51:00"/>
    <d v="2026-03-21T00:48:00"/>
    <x v="9"/>
    <n v="9785"/>
    <s v="RIBANA 30/1 OE PRETO"/>
    <x v="0"/>
    <x v="1"/>
    <x v="3"/>
    <x v="9"/>
    <x v="8"/>
    <x v="9"/>
  </r>
  <r>
    <x v="10"/>
    <x v="60"/>
    <x v="1"/>
    <x v="3"/>
    <d v="2026-03-20T20:51:00"/>
    <d v="2026-03-21T00:48:00"/>
    <x v="15"/>
    <n v="22649"/>
    <s v="RIBANA 2X1 24/1 OE PRETO"/>
    <x v="0"/>
    <x v="1"/>
    <x v="3"/>
    <x v="9"/>
    <x v="8"/>
    <x v="9"/>
  </r>
  <r>
    <x v="10"/>
    <x v="61"/>
    <x v="1"/>
    <x v="3"/>
    <d v="2026-03-20T20:51:00"/>
    <d v="2026-03-21T00:48:00"/>
    <x v="12"/>
    <n v="1328"/>
    <s v="M/M 24/1 18 TRAMAS PRETO"/>
    <x v="0"/>
    <x v="1"/>
    <x v="3"/>
    <x v="9"/>
    <x v="8"/>
    <x v="9"/>
  </r>
  <r>
    <x v="10"/>
    <x v="62"/>
    <x v="1"/>
    <x v="3"/>
    <d v="2026-03-20T20:51:00"/>
    <d v="2026-03-21T00:48:00"/>
    <x v="12"/>
    <n v="1328"/>
    <s v="M/M 24/1 18 TRAMAS PRETO"/>
    <x v="0"/>
    <x v="1"/>
    <x v="3"/>
    <x v="9"/>
    <x v="8"/>
    <x v="9"/>
  </r>
  <r>
    <x v="10"/>
    <x v="63"/>
    <x v="1"/>
    <x v="3"/>
    <d v="2026-03-20T20:51:00"/>
    <d v="2026-03-21T00:48:00"/>
    <x v="12"/>
    <n v="1328"/>
    <s v="M/M 24/1 18 TRAMAS PRETO"/>
    <x v="0"/>
    <x v="1"/>
    <x v="3"/>
    <x v="9"/>
    <x v="8"/>
    <x v="9"/>
  </r>
  <r>
    <x v="10"/>
    <x v="64"/>
    <x v="1"/>
    <x v="3"/>
    <d v="2026-03-20T20:51:00"/>
    <d v="2026-03-21T00:48:00"/>
    <x v="12"/>
    <n v="1328"/>
    <s v="M/M 24/1 18 TRAMAS PRETO"/>
    <x v="0"/>
    <x v="1"/>
    <x v="3"/>
    <x v="9"/>
    <x v="8"/>
    <x v="9"/>
  </r>
  <r>
    <x v="10"/>
    <x v="65"/>
    <x v="1"/>
    <x v="3"/>
    <d v="2026-03-20T20:51:00"/>
    <d v="2026-03-21T00:48:00"/>
    <x v="12"/>
    <n v="1328"/>
    <s v="M/M 24/1 18 TRAMAS PRETO"/>
    <x v="0"/>
    <x v="1"/>
    <x v="3"/>
    <x v="9"/>
    <x v="8"/>
    <x v="9"/>
  </r>
  <r>
    <x v="10"/>
    <x v="66"/>
    <x v="1"/>
    <x v="3"/>
    <d v="2026-03-20T20:51:00"/>
    <d v="2026-03-21T00:48:00"/>
    <x v="12"/>
    <n v="1328"/>
    <s v="M/M 24/1 18 TRAMAS PRETO"/>
    <x v="0"/>
    <x v="1"/>
    <x v="3"/>
    <x v="9"/>
    <x v="8"/>
    <x v="9"/>
  </r>
  <r>
    <x v="10"/>
    <x v="67"/>
    <x v="1"/>
    <x v="3"/>
    <d v="2026-03-20T20:51:00"/>
    <d v="2026-03-21T00:48:00"/>
    <x v="12"/>
    <n v="1328"/>
    <s v="M/M 24/1 18 TRAMAS PRETO"/>
    <x v="0"/>
    <x v="1"/>
    <x v="3"/>
    <x v="9"/>
    <x v="8"/>
    <x v="9"/>
  </r>
  <r>
    <x v="10"/>
    <x v="68"/>
    <x v="1"/>
    <x v="3"/>
    <d v="2026-03-20T20:51:00"/>
    <d v="2026-03-21T00:48:00"/>
    <x v="16"/>
    <n v="1329"/>
    <s v="M/M 24/1 14 TRAMAS PRETO"/>
    <x v="0"/>
    <x v="1"/>
    <x v="3"/>
    <x v="9"/>
    <x v="8"/>
    <x v="9"/>
  </r>
  <r>
    <x v="10"/>
    <x v="69"/>
    <x v="1"/>
    <x v="3"/>
    <d v="2026-03-20T20:51:00"/>
    <d v="2026-03-21T00:48:00"/>
    <x v="7"/>
    <n v="22381"/>
    <s v="M/M 30/1 CARDADA OE LIGHT PRETO"/>
    <x v="0"/>
    <x v="1"/>
    <x v="3"/>
    <x v="9"/>
    <x v="8"/>
    <x v="9"/>
  </r>
  <r>
    <x v="10"/>
    <x v="70"/>
    <x v="1"/>
    <x v="3"/>
    <d v="2026-03-20T20:51:00"/>
    <d v="2026-03-21T00:48:00"/>
    <x v="9"/>
    <n v="9785"/>
    <s v="RIBANA 30/1 OE PRETO"/>
    <x v="0"/>
    <x v="1"/>
    <x v="3"/>
    <x v="9"/>
    <x v="8"/>
    <x v="9"/>
  </r>
  <r>
    <x v="10"/>
    <x v="71"/>
    <x v="1"/>
    <x v="3"/>
    <d v="2026-03-20T20:51:00"/>
    <d v="2026-03-21T00:48:00"/>
    <x v="9"/>
    <n v="9785"/>
    <s v="RIBANA 30/1 OE PRETO"/>
    <x v="0"/>
    <x v="1"/>
    <x v="3"/>
    <x v="9"/>
    <x v="8"/>
    <x v="9"/>
  </r>
  <r>
    <x v="10"/>
    <x v="72"/>
    <x v="1"/>
    <x v="3"/>
    <d v="2026-03-20T20:51:00"/>
    <d v="2026-03-21T00:48:00"/>
    <x v="9"/>
    <n v="9785"/>
    <s v="RIBANA 30/1 OE PRETO"/>
    <x v="0"/>
    <x v="1"/>
    <x v="3"/>
    <x v="9"/>
    <x v="8"/>
    <x v="9"/>
  </r>
  <r>
    <x v="0"/>
    <x v="73"/>
    <x v="1"/>
    <x v="1"/>
    <d v="2026-03-20T21:33:00"/>
    <d v="2026-03-21T02:43:00"/>
    <x v="3"/>
    <n v="22635"/>
    <s v="VISCOLYCRA VORTEX PISTACHE"/>
    <x v="1"/>
    <x v="2"/>
    <x v="3"/>
    <x v="9"/>
    <x v="8"/>
    <x v="9"/>
  </r>
  <r>
    <x v="11"/>
    <x v="74"/>
    <x v="1"/>
    <x v="4"/>
    <d v="2026-03-20T21:54:00"/>
    <d v="2026-03-21T03:20:00"/>
    <x v="3"/>
    <n v="12247"/>
    <s v="VISCOLYCRA VORTEX MARINHO"/>
    <x v="1"/>
    <x v="2"/>
    <x v="3"/>
    <x v="9"/>
    <x v="8"/>
    <x v="9"/>
  </r>
  <r>
    <x v="11"/>
    <x v="75"/>
    <x v="1"/>
    <x v="4"/>
    <d v="2026-03-20T21:54:00"/>
    <d v="2026-03-21T03:20:00"/>
    <x v="3"/>
    <n v="12247"/>
    <s v="VISCOLYCRA VORTEX MARINHO"/>
    <x v="1"/>
    <x v="2"/>
    <x v="3"/>
    <x v="9"/>
    <x v="8"/>
    <x v="9"/>
  </r>
  <r>
    <x v="0"/>
    <x v="76"/>
    <x v="1"/>
    <x v="7"/>
    <d v="2026-03-20T22:06:00"/>
    <d v="2026-03-21T00:15:00"/>
    <x v="6"/>
    <n v="271"/>
    <s v="HELANCA SUEDINE 100%CO MARFIM"/>
    <x v="1"/>
    <x v="2"/>
    <x v="3"/>
    <x v="9"/>
    <x v="8"/>
    <x v="9"/>
  </r>
  <r>
    <x v="0"/>
    <x v="77"/>
    <x v="1"/>
    <x v="9"/>
    <d v="2026-03-20T22:16:00"/>
    <d v="2026-03-21T01:50:00"/>
    <x v="5"/>
    <n v="208"/>
    <s v="M/M 30/1 PENTEADO BRANCO"/>
    <x v="1"/>
    <x v="2"/>
    <x v="3"/>
    <x v="9"/>
    <x v="8"/>
    <x v="9"/>
  </r>
  <r>
    <x v="0"/>
    <x v="78"/>
    <x v="1"/>
    <x v="6"/>
    <d v="2026-03-20T22:17:00"/>
    <d v="2026-03-20T23:43:00"/>
    <x v="4"/>
    <n v="1825"/>
    <s v="POLIÉSTER FIADO BRANCO"/>
    <x v="1"/>
    <x v="2"/>
    <x v="3"/>
    <x v="9"/>
    <x v="8"/>
    <x v="9"/>
  </r>
  <r>
    <x v="0"/>
    <x v="79"/>
    <x v="1"/>
    <x v="8"/>
    <d v="2026-03-20T22:27:00"/>
    <d v="2026-03-21T02:51:00"/>
    <x v="17"/>
    <n v="5684"/>
    <s v="SUPLEX ESPECIAL TURQUESA"/>
    <x v="1"/>
    <x v="2"/>
    <x v="3"/>
    <x v="9"/>
    <x v="8"/>
    <x v="9"/>
  </r>
  <r>
    <x v="0"/>
    <x v="80"/>
    <x v="1"/>
    <x v="2"/>
    <d v="2026-03-20T23:26:00"/>
    <d v="2026-03-21T03:06:00"/>
    <x v="4"/>
    <n v="3373"/>
    <s v="POLIESTER FIADO MARINHO"/>
    <x v="1"/>
    <x v="2"/>
    <x v="3"/>
    <x v="9"/>
    <x v="8"/>
    <x v="9"/>
  </r>
  <r>
    <x v="0"/>
    <x v="81"/>
    <x v="1"/>
    <x v="6"/>
    <d v="2026-03-20T23:44:00"/>
    <d v="2026-03-21T01:10:00"/>
    <x v="4"/>
    <n v="1825"/>
    <s v="POLIÉSTER FIADO BRANCO"/>
    <x v="1"/>
    <x v="2"/>
    <x v="3"/>
    <x v="9"/>
    <x v="8"/>
    <x v="9"/>
  </r>
  <r>
    <x v="0"/>
    <x v="82"/>
    <x v="0"/>
    <x v="7"/>
    <d v="2026-03-21T12:35:00"/>
    <d v="2026-03-21T16:31:00"/>
    <x v="6"/>
    <n v="1700"/>
    <s v="HELANCA SUEDINE 100%CO VERDE BEBÊ"/>
    <x v="1"/>
    <x v="2"/>
    <x v="4"/>
    <x v="21"/>
    <x v="15"/>
    <x v="21"/>
  </r>
  <r>
    <x v="0"/>
    <x v="83"/>
    <x v="1"/>
    <x v="9"/>
    <d v="2026-03-24T01:11:00"/>
    <d v="2026-03-24T02:51:00"/>
    <x v="4"/>
    <n v="1825"/>
    <s v="POLIÉSTER FIADO BRANCO"/>
    <x v="1"/>
    <x v="2"/>
    <x v="3"/>
    <x v="9"/>
    <x v="8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EAF911-904C-4179-8DA0-48690435EAF4}" name="AnalisePorMaquina" cacheId="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rowHeaderCaption="Máq./Grupo/Nº OB" fieldListSortAscending="1">
  <location ref="A3:B82" firstHeaderRow="1" firstDataRow="1" firstDataCol="1" rowPageCount="1" colPageCount="1"/>
  <pivotFields count="15">
    <pivotField axis="axisRow"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axis="axisRow" showAll="0" sortType="ascending" defaultSubtotal="0">
      <items count="84">
        <item x="0"/>
        <item x="1"/>
        <item x="2"/>
        <item x="3"/>
        <item x="4"/>
        <item x="5"/>
        <item x="7"/>
        <item x="6"/>
        <item x="8"/>
        <item x="9"/>
        <item x="10"/>
        <item x="11"/>
        <item x="12"/>
        <item x="13"/>
        <item x="23"/>
        <item x="22"/>
        <item x="21"/>
        <item x="20"/>
        <item x="19"/>
        <item x="25"/>
        <item x="24"/>
        <item x="26"/>
        <item x="14"/>
        <item x="27"/>
        <item x="16"/>
        <item x="15"/>
        <item x="18"/>
        <item x="17"/>
        <item x="28"/>
        <item x="29"/>
        <item x="30"/>
        <item x="31"/>
        <item x="33"/>
        <item x="32"/>
        <item x="35"/>
        <item x="34"/>
        <item x="36"/>
        <item x="37"/>
        <item x="38"/>
        <item x="39"/>
        <item x="40"/>
        <item x="41"/>
        <item x="43"/>
        <item x="42"/>
        <item x="44"/>
        <item x="45"/>
        <item x="46"/>
        <item x="47"/>
        <item x="48"/>
        <item x="49"/>
        <item x="50"/>
        <item x="52"/>
        <item x="51"/>
        <item x="53"/>
        <item x="54"/>
        <item x="55"/>
        <item x="56"/>
        <item x="57"/>
        <item x="58"/>
        <item x="72"/>
        <item x="67"/>
        <item x="66"/>
        <item x="70"/>
        <item x="68"/>
        <item x="71"/>
        <item x="59"/>
        <item x="64"/>
        <item x="65"/>
        <item x="63"/>
        <item x="69"/>
        <item x="62"/>
        <item x="61"/>
        <item x="60"/>
        <item x="73"/>
        <item x="74"/>
        <item x="75"/>
        <item x="76"/>
        <item x="77"/>
        <item x="78"/>
        <item x="79"/>
        <item x="80"/>
        <item x="81"/>
        <item x="82"/>
        <item x="8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 defaultSubtotal="0">
      <items count="2">
        <item x="1"/>
        <item h="1" x="0"/>
      </items>
    </pivotField>
    <pivotField axis="axisRow" showAll="0" defaultSubtotal="0">
      <items count="11">
        <item x="6"/>
        <item x="3"/>
        <item x="1"/>
        <item x="8"/>
        <item x="7"/>
        <item x="0"/>
        <item x="2"/>
        <item x="10"/>
        <item x="4"/>
        <item x="9"/>
        <item x="5"/>
      </items>
    </pivotField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3">
    <field x="3"/>
    <field x="0"/>
    <field x="1"/>
  </rowFields>
  <rowItems count="79">
    <i>
      <x/>
    </i>
    <i r="1">
      <x/>
    </i>
    <i r="2">
      <x v="46"/>
    </i>
    <i r="2">
      <x v="56"/>
    </i>
    <i r="2">
      <x v="58"/>
    </i>
    <i r="2">
      <x v="78"/>
    </i>
    <i r="2">
      <x v="81"/>
    </i>
    <i>
      <x v="1"/>
    </i>
    <i r="1">
      <x v="10"/>
    </i>
    <i r="2">
      <x v="65"/>
    </i>
    <i r="2">
      <x v="66"/>
    </i>
    <i r="2">
      <x v="60"/>
    </i>
    <i r="2">
      <x v="67"/>
    </i>
    <i r="2">
      <x v="62"/>
    </i>
    <i r="2">
      <x v="68"/>
    </i>
    <i r="2">
      <x v="64"/>
    </i>
    <i r="2">
      <x v="69"/>
    </i>
    <i r="2">
      <x v="61"/>
    </i>
    <i r="2">
      <x v="70"/>
    </i>
    <i r="2">
      <x v="59"/>
    </i>
    <i r="2">
      <x v="71"/>
    </i>
    <i r="2">
      <x v="63"/>
    </i>
    <i r="2">
      <x v="72"/>
    </i>
    <i>
      <x v="2"/>
    </i>
    <i r="1">
      <x/>
    </i>
    <i r="2">
      <x v="54"/>
    </i>
    <i r="2">
      <x v="73"/>
    </i>
    <i>
      <x v="3"/>
    </i>
    <i r="1">
      <x/>
    </i>
    <i r="2">
      <x v="79"/>
    </i>
    <i>
      <x v="4"/>
    </i>
    <i r="1">
      <x/>
    </i>
    <i r="2">
      <x v="31"/>
    </i>
    <i r="2">
      <x v="37"/>
    </i>
    <i r="2">
      <x v="47"/>
    </i>
    <i r="2">
      <x v="53"/>
    </i>
    <i r="2">
      <x v="76"/>
    </i>
    <i>
      <x v="5"/>
    </i>
    <i r="1">
      <x v="6"/>
    </i>
    <i r="2">
      <x v="34"/>
    </i>
    <i r="2">
      <x v="35"/>
    </i>
    <i>
      <x v="6"/>
    </i>
    <i r="1">
      <x/>
    </i>
    <i r="2">
      <x v="44"/>
    </i>
    <i r="2">
      <x v="57"/>
    </i>
    <i r="2">
      <x v="80"/>
    </i>
    <i r="1">
      <x v="3"/>
    </i>
    <i r="2">
      <x v="20"/>
    </i>
    <i r="2">
      <x v="21"/>
    </i>
    <i r="2">
      <x v="15"/>
    </i>
    <i r="2">
      <x v="22"/>
    </i>
    <i r="2">
      <x v="17"/>
    </i>
    <i r="2">
      <x v="23"/>
    </i>
    <i r="2">
      <x v="19"/>
    </i>
    <i r="2">
      <x v="24"/>
    </i>
    <i r="2">
      <x v="16"/>
    </i>
    <i r="2">
      <x v="25"/>
    </i>
    <i r="2">
      <x v="14"/>
    </i>
    <i r="2">
      <x v="26"/>
    </i>
    <i r="2">
      <x v="18"/>
    </i>
    <i r="2">
      <x v="27"/>
    </i>
    <i>
      <x v="7"/>
    </i>
    <i r="1">
      <x v="7"/>
    </i>
    <i r="2">
      <x v="42"/>
    </i>
    <i r="2">
      <x v="43"/>
    </i>
    <i>
      <x v="8"/>
    </i>
    <i r="1">
      <x v="11"/>
    </i>
    <i r="2">
      <x v="74"/>
    </i>
    <i r="2">
      <x v="75"/>
    </i>
    <i>
      <x v="9"/>
    </i>
    <i r="1">
      <x/>
    </i>
    <i r="2">
      <x v="11"/>
    </i>
    <i r="2">
      <x v="36"/>
    </i>
    <i r="2">
      <x v="38"/>
    </i>
    <i r="2">
      <x v="48"/>
    </i>
    <i r="2">
      <x v="55"/>
    </i>
    <i r="2">
      <x v="77"/>
    </i>
    <i r="2">
      <x v="83"/>
    </i>
    <i t="grand">
      <x/>
    </i>
  </rowItems>
  <colItems count="1">
    <i/>
  </colItems>
  <pageFields count="1">
    <pageField fld="2" hier="-1"/>
  </pageFields>
  <dataFields count="1">
    <dataField name="Início do Tingimento" fld="4" subtotal="min" baseField="0" baseItem="0" numFmtId="22"/>
  </dataFields>
  <pivotTableStyleInfo name="PivotStyleMedium9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107E-6F4F-42DE-987A-80B64066428F}">
  <sheetPr codeName="Planilha1">
    <pageSetUpPr fitToPage="1"/>
  </sheetPr>
  <dimension ref="A1:B82"/>
  <sheetViews>
    <sheetView tabSelected="1" topLeftCell="A46" workbookViewId="0">
      <selection activeCell="E61" sqref="E61"/>
    </sheetView>
  </sheetViews>
  <sheetFormatPr defaultRowHeight="15" x14ac:dyDescent="0.25"/>
  <cols>
    <col min="1" max="1" width="20.85546875" bestFit="1" customWidth="1"/>
    <col min="2" max="2" width="19.42578125" bestFit="1" customWidth="1"/>
  </cols>
  <sheetData>
    <row r="1" spans="1:2" x14ac:dyDescent="0.25">
      <c r="A1" s="1" t="s">
        <v>0</v>
      </c>
      <c r="B1" t="s">
        <v>2</v>
      </c>
    </row>
    <row r="3" spans="1:2" x14ac:dyDescent="0.25">
      <c r="A3" s="1" t="s">
        <v>4</v>
      </c>
      <c r="B3" t="s">
        <v>5</v>
      </c>
    </row>
    <row r="4" spans="1:2" x14ac:dyDescent="0.25">
      <c r="A4" s="2" t="s">
        <v>3</v>
      </c>
      <c r="B4" s="5"/>
    </row>
    <row r="5" spans="1:2" x14ac:dyDescent="0.25">
      <c r="A5" s="3">
        <v>0</v>
      </c>
      <c r="B5" s="5"/>
    </row>
    <row r="6" spans="1:2" x14ac:dyDescent="0.25">
      <c r="A6" s="4">
        <v>170547</v>
      </c>
      <c r="B6" s="5">
        <v>46101.666666666664</v>
      </c>
    </row>
    <row r="7" spans="1:2" x14ac:dyDescent="0.25">
      <c r="A7" s="4">
        <v>169934</v>
      </c>
      <c r="B7" s="5">
        <v>46101.807638888888</v>
      </c>
    </row>
    <row r="8" spans="1:2" x14ac:dyDescent="0.25">
      <c r="A8" s="4">
        <v>169935</v>
      </c>
      <c r="B8" s="5">
        <v>46101.868055555555</v>
      </c>
    </row>
    <row r="9" spans="1:2" x14ac:dyDescent="0.25">
      <c r="A9" s="4">
        <v>169936</v>
      </c>
      <c r="B9" s="5">
        <v>46101.928472222222</v>
      </c>
    </row>
    <row r="10" spans="1:2" x14ac:dyDescent="0.25">
      <c r="A10" s="4">
        <v>169946</v>
      </c>
      <c r="B10" s="5">
        <v>46101.988888888889</v>
      </c>
    </row>
    <row r="11" spans="1:2" x14ac:dyDescent="0.25">
      <c r="A11" s="2" t="s">
        <v>6</v>
      </c>
      <c r="B11" s="5"/>
    </row>
    <row r="12" spans="1:2" x14ac:dyDescent="0.25">
      <c r="A12" s="3">
        <v>185470</v>
      </c>
      <c r="B12" s="5"/>
    </row>
    <row r="13" spans="1:2" x14ac:dyDescent="0.25">
      <c r="A13" s="4">
        <v>170736</v>
      </c>
      <c r="B13" s="5">
        <v>46101.868750000001</v>
      </c>
    </row>
    <row r="14" spans="1:2" x14ac:dyDescent="0.25">
      <c r="A14" s="4">
        <v>170589</v>
      </c>
      <c r="B14" s="5">
        <v>46101.868750000001</v>
      </c>
    </row>
    <row r="15" spans="1:2" x14ac:dyDescent="0.25">
      <c r="A15" s="4">
        <v>171134</v>
      </c>
      <c r="B15" s="5">
        <v>46101.868750000001</v>
      </c>
    </row>
    <row r="16" spans="1:2" x14ac:dyDescent="0.25">
      <c r="A16" s="4">
        <v>170086</v>
      </c>
      <c r="B16" s="5">
        <v>46101.868750000001</v>
      </c>
    </row>
    <row r="17" spans="1:2" x14ac:dyDescent="0.25">
      <c r="A17" s="4">
        <v>170805</v>
      </c>
      <c r="B17" s="5">
        <v>46101.868750000001</v>
      </c>
    </row>
    <row r="18" spans="1:2" x14ac:dyDescent="0.25">
      <c r="A18" s="4">
        <v>170843</v>
      </c>
      <c r="B18" s="5">
        <v>46101.868750000001</v>
      </c>
    </row>
    <row r="19" spans="1:2" x14ac:dyDescent="0.25">
      <c r="A19" s="4">
        <v>171213</v>
      </c>
      <c r="B19" s="5">
        <v>46101.868750000001</v>
      </c>
    </row>
    <row r="20" spans="1:2" x14ac:dyDescent="0.25">
      <c r="A20" s="4">
        <v>171286</v>
      </c>
      <c r="B20" s="5">
        <v>46101.868750000001</v>
      </c>
    </row>
    <row r="21" spans="1:2" x14ac:dyDescent="0.25">
      <c r="A21" s="4">
        <v>171135</v>
      </c>
      <c r="B21" s="5">
        <v>46101.868750000001</v>
      </c>
    </row>
    <row r="22" spans="1:2" x14ac:dyDescent="0.25">
      <c r="A22" s="4">
        <v>171057</v>
      </c>
      <c r="B22" s="5">
        <v>46101.868750000001</v>
      </c>
    </row>
    <row r="23" spans="1:2" x14ac:dyDescent="0.25">
      <c r="A23" s="4">
        <v>170835</v>
      </c>
      <c r="B23" s="5">
        <v>46101.868750000001</v>
      </c>
    </row>
    <row r="24" spans="1:2" x14ac:dyDescent="0.25">
      <c r="A24" s="4">
        <v>171206</v>
      </c>
      <c r="B24" s="5">
        <v>46101.868750000001</v>
      </c>
    </row>
    <row r="25" spans="1:2" x14ac:dyDescent="0.25">
      <c r="A25" s="4">
        <v>171136</v>
      </c>
      <c r="B25" s="5">
        <v>46101.868750000001</v>
      </c>
    </row>
    <row r="26" spans="1:2" x14ac:dyDescent="0.25">
      <c r="A26" s="4">
        <v>171021</v>
      </c>
      <c r="B26" s="5">
        <v>46101.868750000001</v>
      </c>
    </row>
    <row r="27" spans="1:2" x14ac:dyDescent="0.25">
      <c r="A27" s="2" t="s">
        <v>11</v>
      </c>
      <c r="B27" s="5"/>
    </row>
    <row r="28" spans="1:2" x14ac:dyDescent="0.25">
      <c r="A28" s="3">
        <v>0</v>
      </c>
      <c r="B28" s="5"/>
    </row>
    <row r="29" spans="1:2" x14ac:dyDescent="0.25">
      <c r="A29" s="4">
        <v>170520</v>
      </c>
      <c r="B29" s="5">
        <v>46101.763194444444</v>
      </c>
    </row>
    <row r="30" spans="1:2" x14ac:dyDescent="0.25">
      <c r="A30" s="4">
        <v>170959</v>
      </c>
      <c r="B30" s="5">
        <v>46101.897916666669</v>
      </c>
    </row>
    <row r="31" spans="1:2" x14ac:dyDescent="0.25">
      <c r="A31" s="2" t="s">
        <v>12</v>
      </c>
      <c r="B31" s="5"/>
    </row>
    <row r="32" spans="1:2" x14ac:dyDescent="0.25">
      <c r="A32" s="3">
        <v>0</v>
      </c>
      <c r="B32" s="5"/>
    </row>
    <row r="33" spans="1:2" x14ac:dyDescent="0.25">
      <c r="A33" s="4">
        <v>170489</v>
      </c>
      <c r="B33" s="5">
        <v>46101.935416666667</v>
      </c>
    </row>
    <row r="34" spans="1:2" x14ac:dyDescent="0.25">
      <c r="A34" s="2" t="s">
        <v>7</v>
      </c>
      <c r="B34" s="5"/>
    </row>
    <row r="35" spans="1:2" x14ac:dyDescent="0.25">
      <c r="A35" s="3">
        <v>0</v>
      </c>
      <c r="B35" s="5"/>
    </row>
    <row r="36" spans="1:2" x14ac:dyDescent="0.25">
      <c r="A36" s="4">
        <v>171365</v>
      </c>
      <c r="B36" s="5">
        <v>46101.489583333336</v>
      </c>
    </row>
    <row r="37" spans="1:2" x14ac:dyDescent="0.25">
      <c r="A37" s="4">
        <v>171454</v>
      </c>
      <c r="B37" s="5">
        <v>46101.579861111109</v>
      </c>
    </row>
    <row r="38" spans="1:2" x14ac:dyDescent="0.25">
      <c r="A38" s="4">
        <v>170468</v>
      </c>
      <c r="B38" s="5">
        <v>46101.670138888891</v>
      </c>
    </row>
    <row r="39" spans="1:2" x14ac:dyDescent="0.25">
      <c r="A39" s="4">
        <v>170475</v>
      </c>
      <c r="B39" s="5">
        <v>46101.756944444445</v>
      </c>
    </row>
    <row r="40" spans="1:2" x14ac:dyDescent="0.25">
      <c r="A40" s="4">
        <v>171462</v>
      </c>
      <c r="B40" s="5">
        <v>46101.92083333333</v>
      </c>
    </row>
    <row r="41" spans="1:2" x14ac:dyDescent="0.25">
      <c r="A41" s="2" t="s">
        <v>13</v>
      </c>
      <c r="B41" s="5"/>
    </row>
    <row r="42" spans="1:2" x14ac:dyDescent="0.25">
      <c r="A42" s="3">
        <v>185529</v>
      </c>
      <c r="B42" s="5"/>
    </row>
    <row r="43" spans="1:2" x14ac:dyDescent="0.25">
      <c r="A43" s="4">
        <v>171175</v>
      </c>
      <c r="B43" s="5">
        <v>46101.526388888888</v>
      </c>
    </row>
    <row r="44" spans="1:2" x14ac:dyDescent="0.25">
      <c r="A44" s="4">
        <v>171177</v>
      </c>
      <c r="B44" s="5">
        <v>46101.526388888888</v>
      </c>
    </row>
    <row r="45" spans="1:2" x14ac:dyDescent="0.25">
      <c r="A45" s="2" t="s">
        <v>14</v>
      </c>
      <c r="B45" s="5"/>
    </row>
    <row r="46" spans="1:2" x14ac:dyDescent="0.25">
      <c r="A46" s="3">
        <v>0</v>
      </c>
      <c r="B46" s="5"/>
    </row>
    <row r="47" spans="1:2" x14ac:dyDescent="0.25">
      <c r="A47" s="4">
        <v>171300</v>
      </c>
      <c r="B47" s="5">
        <v>46101.645833333336</v>
      </c>
    </row>
    <row r="48" spans="1:2" x14ac:dyDescent="0.25">
      <c r="A48" s="4">
        <v>171301</v>
      </c>
      <c r="B48" s="5">
        <v>46101.811111111114</v>
      </c>
    </row>
    <row r="49" spans="1:2" x14ac:dyDescent="0.25">
      <c r="A49" s="4">
        <v>170702</v>
      </c>
      <c r="B49" s="5">
        <v>46101.976388888892</v>
      </c>
    </row>
    <row r="50" spans="1:2" x14ac:dyDescent="0.25">
      <c r="A50" s="3">
        <v>185534</v>
      </c>
      <c r="B50" s="5"/>
    </row>
    <row r="51" spans="1:2" x14ac:dyDescent="0.25">
      <c r="A51" s="4">
        <v>170821</v>
      </c>
      <c r="B51" s="5">
        <v>46101.480555555558</v>
      </c>
    </row>
    <row r="52" spans="1:2" x14ac:dyDescent="0.25">
      <c r="A52" s="4">
        <v>170796</v>
      </c>
      <c r="B52" s="5">
        <v>46101.480555555558</v>
      </c>
    </row>
    <row r="53" spans="1:2" x14ac:dyDescent="0.25">
      <c r="A53" s="4">
        <v>170982</v>
      </c>
      <c r="B53" s="5">
        <v>46101.480555555558</v>
      </c>
    </row>
    <row r="54" spans="1:2" x14ac:dyDescent="0.25">
      <c r="A54" s="4">
        <v>170822</v>
      </c>
      <c r="B54" s="5">
        <v>46101.480555555558</v>
      </c>
    </row>
    <row r="55" spans="1:2" x14ac:dyDescent="0.25">
      <c r="A55" s="4">
        <v>170828</v>
      </c>
      <c r="B55" s="5">
        <v>46101.480555555558</v>
      </c>
    </row>
    <row r="56" spans="1:2" x14ac:dyDescent="0.25">
      <c r="A56" s="4">
        <v>171299</v>
      </c>
      <c r="B56" s="5">
        <v>46101.480555555558</v>
      </c>
    </row>
    <row r="57" spans="1:2" x14ac:dyDescent="0.25">
      <c r="A57" s="4">
        <v>170797</v>
      </c>
      <c r="B57" s="5">
        <v>46101.480555555558</v>
      </c>
    </row>
    <row r="58" spans="1:2" x14ac:dyDescent="0.25">
      <c r="A58" s="4">
        <v>171132</v>
      </c>
      <c r="B58" s="5">
        <v>46101.480555555558</v>
      </c>
    </row>
    <row r="59" spans="1:2" x14ac:dyDescent="0.25">
      <c r="A59" s="4">
        <v>170819</v>
      </c>
      <c r="B59" s="5">
        <v>46101.480555555558</v>
      </c>
    </row>
    <row r="60" spans="1:2" x14ac:dyDescent="0.25">
      <c r="A60" s="4">
        <v>171271</v>
      </c>
      <c r="B60" s="5">
        <v>46101.480555555558</v>
      </c>
    </row>
    <row r="61" spans="1:2" x14ac:dyDescent="0.25">
      <c r="A61" s="4">
        <v>170848</v>
      </c>
      <c r="B61" s="5">
        <v>46101.480555555558</v>
      </c>
    </row>
    <row r="62" spans="1:2" x14ac:dyDescent="0.25">
      <c r="A62" s="4">
        <v>170820</v>
      </c>
      <c r="B62" s="5">
        <v>46101.480555555558</v>
      </c>
    </row>
    <row r="63" spans="1:2" x14ac:dyDescent="0.25">
      <c r="A63" s="4">
        <v>170847</v>
      </c>
      <c r="B63" s="5">
        <v>46101.480555555558</v>
      </c>
    </row>
    <row r="64" spans="1:2" x14ac:dyDescent="0.25">
      <c r="A64" s="4">
        <v>170823</v>
      </c>
      <c r="B64" s="5">
        <v>46101.480555555558</v>
      </c>
    </row>
    <row r="65" spans="1:2" x14ac:dyDescent="0.25">
      <c r="A65" s="2" t="s">
        <v>8</v>
      </c>
      <c r="B65" s="5"/>
    </row>
    <row r="66" spans="1:2" x14ac:dyDescent="0.25">
      <c r="A66" s="3">
        <v>185545</v>
      </c>
      <c r="B66" s="5"/>
    </row>
    <row r="67" spans="1:2" x14ac:dyDescent="0.25">
      <c r="A67" s="4">
        <v>171539</v>
      </c>
      <c r="B67" s="5">
        <v>46101.643750000003</v>
      </c>
    </row>
    <row r="68" spans="1:2" x14ac:dyDescent="0.25">
      <c r="A68" s="4">
        <v>171538</v>
      </c>
      <c r="B68" s="5">
        <v>46101.643750000003</v>
      </c>
    </row>
    <row r="69" spans="1:2" x14ac:dyDescent="0.25">
      <c r="A69" s="2" t="s">
        <v>9</v>
      </c>
      <c r="B69" s="5"/>
    </row>
    <row r="70" spans="1:2" x14ac:dyDescent="0.25">
      <c r="A70" s="3">
        <v>185548</v>
      </c>
      <c r="B70" s="5"/>
    </row>
    <row r="71" spans="1:2" x14ac:dyDescent="0.25">
      <c r="A71" s="4">
        <v>170957</v>
      </c>
      <c r="B71" s="5">
        <v>46101.912499999999</v>
      </c>
    </row>
    <row r="72" spans="1:2" x14ac:dyDescent="0.25">
      <c r="A72" s="4">
        <v>170956</v>
      </c>
      <c r="B72" s="5">
        <v>46101.912499999999</v>
      </c>
    </row>
    <row r="73" spans="1:2" x14ac:dyDescent="0.25">
      <c r="A73" s="2" t="s">
        <v>10</v>
      </c>
      <c r="B73" s="5"/>
    </row>
    <row r="74" spans="1:2" x14ac:dyDescent="0.25">
      <c r="A74" s="3">
        <v>0</v>
      </c>
      <c r="B74" s="5"/>
    </row>
    <row r="75" spans="1:2" x14ac:dyDescent="0.25">
      <c r="A75" s="4">
        <v>170445</v>
      </c>
      <c r="B75" s="5">
        <v>46101.415972222225</v>
      </c>
    </row>
    <row r="76" spans="1:2" x14ac:dyDescent="0.25">
      <c r="A76" s="4">
        <v>170948</v>
      </c>
      <c r="B76" s="5">
        <v>46101.529861111114</v>
      </c>
    </row>
    <row r="77" spans="1:2" x14ac:dyDescent="0.25">
      <c r="A77" s="4">
        <v>170949</v>
      </c>
      <c r="B77" s="5">
        <v>46101.604166666664</v>
      </c>
    </row>
    <row r="78" spans="1:2" x14ac:dyDescent="0.25">
      <c r="A78" s="4">
        <v>170444</v>
      </c>
      <c r="B78" s="5">
        <v>46101.678472222222</v>
      </c>
    </row>
    <row r="79" spans="1:2" x14ac:dyDescent="0.25">
      <c r="A79" s="4">
        <v>171422</v>
      </c>
      <c r="B79" s="5">
        <v>46101.77847222222</v>
      </c>
    </row>
    <row r="80" spans="1:2" x14ac:dyDescent="0.25">
      <c r="A80" s="4">
        <v>171423</v>
      </c>
      <c r="B80" s="5">
        <v>46101.927777777775</v>
      </c>
    </row>
    <row r="81" spans="1:2" x14ac:dyDescent="0.25">
      <c r="A81" s="4">
        <v>170510</v>
      </c>
      <c r="B81" s="5">
        <v>46105.049305555556</v>
      </c>
    </row>
    <row r="82" spans="1:2" x14ac:dyDescent="0.25">
      <c r="A82" s="2" t="s">
        <v>1</v>
      </c>
      <c r="B82" s="5">
        <v>46101.415972222225</v>
      </c>
    </row>
  </sheetData>
  <pageMargins left="0.511811024" right="0.511811024" top="0.78740157499999996" bottom="0.78740157499999996" header="0.31496062000000002" footer="0.31496062000000002"/>
  <pageSetup paperSize="9" scale="82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FB9680-4250-4569-98EA-DA8A7E77EE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ControleReceitasEmitidas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2026-03-13T11:36:14Z</cp:lastPrinted>
  <dcterms:created xsi:type="dcterms:W3CDTF">2024-05-01T17:44:56Z</dcterms:created>
  <dcterms:modified xsi:type="dcterms:W3CDTF">2026-03-20T16:31:36Z</dcterms:modified>
</cp:coreProperties>
</file>