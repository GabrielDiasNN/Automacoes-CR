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990DEDA1-34BB-4D31-A8B9-59A0F1662D65}" xr6:coauthVersionLast="47" xr6:coauthVersionMax="47" xr10:uidLastSave="{00000000-0000-0000-0000-000000000000}"/>
  <bookViews>
    <workbookView xWindow="2250" yWindow="2250" windowWidth="21600" windowHeight="11385" xr2:uid="{E36E89AB-B6B3-4723-B386-2AC7DD1FA543}"/>
  </bookViews>
  <sheets>
    <sheet name="ControleReceitasEmitidas" sheetId="5" r:id="rId1"/>
  </sheets>
  <calcPr calcId="191029" iterate="1"/>
  <pivotCaches>
    <pivotCache cacheId="7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<sst xmlns="http://schemas.openxmlformats.org/spreadsheetml/2006/main" count="15" uniqueCount="15">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</sst>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0.798833217596" missingItemsLimit="0" createdVersion="7" refreshedVersion="7" minRefreshableVersion="3" recordCount="86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11" count="20">
        <n v="0"/>
        <n v="185702"/>
        <n v="185684"/>
        <n v="185685"/>
        <n v="185547"/>
        <n v="185701"/>
        <n v="185682"/>
        <n v="185546"/>
        <n v="185681"/>
        <n v="185644"/>
        <n v="185643"/>
        <n v="185645"/>
        <n v="185711"/>
        <n v="185710"/>
        <n v="185642"/>
        <n v="185606"/>
        <n v="185603"/>
        <n v="185641"/>
        <n v="185640"/>
        <n v="185604"/>
      </sharedItems>
    </cacheField>
    <cacheField name="NUMERO_OB" numFmtId="0">
      <sharedItems containsSemiMixedTypes="0" containsString="0" containsNumber="1" containsInteger="1" minValue="171058" maxValue="172186" count="86">
        <n v="172024"/>
        <n v="171767"/>
        <n v="172006"/>
        <n v="171362"/>
        <n v="172184"/>
        <n v="172183"/>
        <n v="171474"/>
        <n v="171992"/>
        <n v="171753"/>
        <n v="171853"/>
        <n v="171852"/>
        <n v="171058"/>
        <n v="172026"/>
        <n v="171067"/>
        <n v="171850"/>
        <n v="171849"/>
        <n v="172118"/>
        <n v="171551"/>
        <n v="171549"/>
        <n v="171987"/>
        <n v="171744"/>
        <n v="171068"/>
        <n v="172186"/>
        <n v="172185"/>
        <n v="172119"/>
        <n v="171743"/>
        <n v="171859"/>
        <n v="171858"/>
        <n v="171957"/>
        <n v="171550"/>
        <n v="171552"/>
        <n v="171840"/>
        <n v="171745"/>
        <n v="172014"/>
        <n v="171060"/>
        <n v="171861"/>
        <n v="171862"/>
        <n v="172042"/>
        <n v="171841"/>
        <n v="171746"/>
        <n v="171986"/>
        <n v="171476"/>
        <n v="171475"/>
        <n v="171959"/>
        <n v="171963"/>
        <n v="171842"/>
        <n v="171982"/>
        <n v="171061"/>
        <n v="171477"/>
        <n v="171478"/>
        <n v="171991"/>
        <n v="172055"/>
        <n v="171467"/>
        <n v="171466"/>
        <n v="171847"/>
        <n v="171978"/>
        <n v="171848"/>
        <n v="171869"/>
        <n v="171844"/>
        <n v="171843"/>
        <n v="171798"/>
        <n v="171996"/>
        <n v="171846"/>
        <n v="171845"/>
        <n v="171062"/>
        <n v="171480"/>
        <n v="171479"/>
        <n v="171814"/>
        <n v="171815"/>
        <n v="171781"/>
        <n v="171779"/>
        <n v="171482"/>
        <n v="171481"/>
        <n v="171851"/>
        <n v="171483"/>
        <n v="171484"/>
        <n v="171854"/>
        <n v="171782"/>
        <n v="171780"/>
        <n v="171857"/>
        <n v="171751"/>
        <n v="171749"/>
        <n v="171748"/>
        <n v="171772"/>
        <n v="171747"/>
        <n v="171759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2"/>
        <s v="MQ08"/>
        <s v="MQ07"/>
        <s v="MQ04"/>
        <s v="MQ09"/>
        <s v="MQ10"/>
        <s v="MQ06"/>
        <s v="MQ05"/>
        <s v="MQ11"/>
        <s v="MQ03"/>
        <s v="MQ01"/>
      </sharedItems>
    </cacheField>
    <cacheField name="INICIO_TING" numFmtId="0">
      <sharedItems containsSemiMixedTypes="0" containsNonDate="0" containsDate="1" containsString="0" minDate="2026-03-29T19:02:00" maxDate="2026-04-01T06:40:00"/>
    </cacheField>
    <cacheField name="FINAL_TING" numFmtId="0">
      <sharedItems containsSemiMixedTypes="0" containsNonDate="0" containsDate="1" containsString="0" minDate="2026-03-29T20:42:00" maxDate="2026-04-01T09:40:00"/>
    </cacheField>
    <cacheField name="ARTIGO" numFmtId="0">
      <sharedItems count="18">
        <s v="00184     "/>
        <s v="00056     "/>
        <s v="00149     "/>
        <s v="00189     "/>
        <s v="00142     "/>
        <s v="00030     "/>
        <s v="00024     "/>
        <s v="00456     "/>
        <s v="00010     "/>
        <s v="00032     "/>
        <s v="00012     "/>
        <s v="00015     "/>
        <s v="00178     "/>
        <s v="00207     "/>
        <s v="00044     "/>
        <s v="00146     "/>
        <s v="00018     "/>
        <s v="00016     "/>
      </sharedItems>
    </cacheField>
    <cacheField name="REDUZIDO" numFmtId="0">
      <sharedItems containsSemiMixedTypes="0" containsString="0" containsNumber="1" containsInteger="1" minValue="206" maxValue="22637"/>
    </cacheField>
    <cacheField name="DESCRICAO" numFmtId="0">
      <sharedItems/>
    </cacheField>
    <cacheField name="FASE_ATUAL" numFmtId="0">
      <sharedItems count="3">
        <s v="TIN-TINGIMENTO"/>
        <s v="IVF-INVERSÃO P/FELPAGEM"/>
        <s v="RMC-REVISÃO MALHA CRUA"/>
      </sharedItems>
    </cacheField>
    <cacheField name="STATUS_FASE" numFmtId="0">
      <sharedItems count="4">
        <s v="PESADA"/>
        <s v="PROGRAMADA"/>
        <s v="EMITIDA"/>
        <s v="EM EXECUÇÃO"/>
      </sharedItems>
    </cacheField>
    <cacheField name="USUARIO" numFmtId="0">
      <sharedItems containsBlank="1" count="3">
        <s v="FABIO ALEXANDRE SANTOS DAMASCE"/>
        <s v="PETERSON ALEXANDRE FELIZARDO"/>
        <m/>
      </sharedItems>
    </cacheField>
    <cacheField name="HORARIO_PESADO" numFmtId="0">
      <sharedItems containsNonDate="0" containsDate="1" containsString="0" containsBlank="1" minDate="2026-03-29T00:16:56" maxDate="2026-03-29T12:37:21" count="18">
        <d v="2026-03-29T12:37:21"/>
        <d v="2026-03-29T12:22:07"/>
        <d v="2026-03-29T07:59:41"/>
        <d v="2026-03-29T07:02:50"/>
        <d v="2026-03-29T07:50:11"/>
        <d v="2026-03-29T09:05:40"/>
        <d v="2026-03-29T08:12:31"/>
        <d v="2026-03-29T00:16:56"/>
        <d v="2026-03-29T09:30:27"/>
        <m/>
        <d v="2026-03-29T12:31:34"/>
        <d v="2026-03-29T09:26:35"/>
        <d v="2026-03-29T06:46:20"/>
        <d v="2026-03-29T08:07:46"/>
        <d v="2026-03-29T08:28:02"/>
        <d v="2026-03-29T08:40:19"/>
        <d v="2026-03-29T10:45:44"/>
        <d v="2026-03-29T08:16:32"/>
      </sharedItems>
    </cacheField>
    <cacheField name="DIAS_PESADO" numFmtId="0">
      <sharedItems containsString="0" containsBlank="1" containsNumber="1" minValue="0.27" maxValue="0.79" count="13">
        <n v="0.27"/>
        <n v="0.28000000000000003"/>
        <n v="0.47"/>
        <n v="0.5"/>
        <n v="0.42"/>
        <n v="0.46"/>
        <n v="0.79"/>
        <n v="0.4"/>
        <m/>
        <n v="0.52"/>
        <n v="0.45"/>
        <n v="0.44"/>
        <n v="0.35"/>
      </sharedItems>
    </cacheField>
    <cacheField name="QUANT_PESADA" numFmtId="0">
      <sharedItems containsSemiMixedTypes="0" containsString="0" containsNumber="1" minValue="0" maxValue="61.470999999999997" count="18">
        <n v="8.6740300000000001"/>
        <n v="6.5600800000000001"/>
        <n v="15.683"/>
        <n v="4.8559999999999999"/>
        <n v="61.470999999999997"/>
        <n v="3.456"/>
        <n v="10.25"/>
        <n v="24.960999999999999"/>
        <n v="0.53800000000000003"/>
        <n v="0"/>
        <n v="9.03857"/>
        <n v="0.50338000000000005"/>
        <n v="2.0979999999999999"/>
        <n v="12.071"/>
        <n v="12.532"/>
        <n v="39.19"/>
        <n v="3.3168899999999999"/>
        <n v="10.47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x v="0"/>
    <x v="0"/>
    <x v="0"/>
    <x v="0"/>
    <d v="2026-03-29T19:02:00"/>
    <d v="2026-03-29T21:26:00"/>
    <x v="0"/>
    <n v="3360"/>
    <s v="POLIÉSTER FIADO AZUL BEBÊ"/>
    <x v="0"/>
    <x v="0"/>
    <x v="0"/>
    <x v="0"/>
    <x v="0"/>
    <x v="0"/>
  </r>
  <r>
    <x v="0"/>
    <x v="1"/>
    <x v="0"/>
    <x v="1"/>
    <d v="2026-03-29T19:02:00"/>
    <d v="2026-03-30T00:17:00"/>
    <x v="1"/>
    <n v="21447"/>
    <s v="MOLETOM PA TUBULAR AZUL BEBÊ"/>
    <x v="1"/>
    <x v="1"/>
    <x v="0"/>
    <x v="1"/>
    <x v="1"/>
    <x v="1"/>
  </r>
  <r>
    <x v="0"/>
    <x v="2"/>
    <x v="0"/>
    <x v="2"/>
    <d v="2026-03-29T19:02:00"/>
    <d v="2026-03-30T01:03:00"/>
    <x v="2"/>
    <n v="21312"/>
    <s v="HELANCA SUEDINE 100%CO VERDE MILITAR"/>
    <x v="0"/>
    <x v="0"/>
    <x v="0"/>
    <x v="2"/>
    <x v="2"/>
    <x v="2"/>
  </r>
  <r>
    <x v="0"/>
    <x v="3"/>
    <x v="0"/>
    <x v="3"/>
    <d v="2026-03-29T19:02:00"/>
    <d v="2026-03-29T23:07:00"/>
    <x v="3"/>
    <n v="12118"/>
    <s v="VISCOLYCRA VORTEX BRANCO"/>
    <x v="0"/>
    <x v="0"/>
    <x v="0"/>
    <x v="3"/>
    <x v="3"/>
    <x v="3"/>
  </r>
  <r>
    <x v="1"/>
    <x v="4"/>
    <x v="0"/>
    <x v="4"/>
    <d v="2026-03-29T19:02:00"/>
    <d v="2026-03-30T00:28:00"/>
    <x v="3"/>
    <n v="12247"/>
    <s v="VISCOLYCRA VORTEX MARINHO"/>
    <x v="0"/>
    <x v="0"/>
    <x v="0"/>
    <x v="4"/>
    <x v="2"/>
    <x v="4"/>
  </r>
  <r>
    <x v="1"/>
    <x v="5"/>
    <x v="0"/>
    <x v="4"/>
    <d v="2026-03-29T19:02:00"/>
    <d v="2026-03-30T00:28:00"/>
    <x v="3"/>
    <n v="12247"/>
    <s v="VISCOLYCRA VORTEX MARINHO"/>
    <x v="0"/>
    <x v="0"/>
    <x v="0"/>
    <x v="4"/>
    <x v="2"/>
    <x v="4"/>
  </r>
  <r>
    <x v="0"/>
    <x v="6"/>
    <x v="0"/>
    <x v="5"/>
    <d v="2026-03-29T19:02:00"/>
    <d v="2026-03-29T20:42:00"/>
    <x v="0"/>
    <n v="1825"/>
    <s v="POLIÉSTER FIADO BRANCO"/>
    <x v="0"/>
    <x v="0"/>
    <x v="0"/>
    <x v="5"/>
    <x v="4"/>
    <x v="5"/>
  </r>
  <r>
    <x v="0"/>
    <x v="7"/>
    <x v="0"/>
    <x v="6"/>
    <d v="2026-03-29T19:02:00"/>
    <d v="2026-03-29T23:32:00"/>
    <x v="4"/>
    <n v="1108"/>
    <s v="HELANQUINHA DRY FIT ROYAL"/>
    <x v="0"/>
    <x v="2"/>
    <x v="0"/>
    <x v="6"/>
    <x v="5"/>
    <x v="6"/>
  </r>
  <r>
    <x v="0"/>
    <x v="8"/>
    <x v="0"/>
    <x v="7"/>
    <d v="2026-03-29T19:02:00"/>
    <d v="2026-03-30T01:03:00"/>
    <x v="5"/>
    <n v="3616"/>
    <s v="M/M 30/1 CARDADA OE MARINHO"/>
    <x v="0"/>
    <x v="0"/>
    <x v="1"/>
    <x v="7"/>
    <x v="6"/>
    <x v="7"/>
  </r>
  <r>
    <x v="2"/>
    <x v="9"/>
    <x v="0"/>
    <x v="8"/>
    <d v="2026-03-29T19:02:00"/>
    <d v="2026-03-29T22:07:00"/>
    <x v="6"/>
    <n v="3393"/>
    <s v="M/M 24/1 18 TRAMAS AZUL BEBÊ (P) ESTAMPADO"/>
    <x v="0"/>
    <x v="2"/>
    <x v="0"/>
    <x v="8"/>
    <x v="7"/>
    <x v="8"/>
  </r>
  <r>
    <x v="2"/>
    <x v="10"/>
    <x v="0"/>
    <x v="8"/>
    <d v="2026-03-29T19:02:00"/>
    <d v="2026-03-29T22:07:00"/>
    <x v="6"/>
    <n v="3393"/>
    <s v="M/M 24/1 18 TRAMAS AZUL BEBÊ (P) ESTAMPADO"/>
    <x v="0"/>
    <x v="2"/>
    <x v="0"/>
    <x v="8"/>
    <x v="7"/>
    <x v="8"/>
  </r>
  <r>
    <x v="0"/>
    <x v="11"/>
    <x v="1"/>
    <x v="5"/>
    <d v="2026-03-29T20:43:00"/>
    <d v="2026-03-29T23:57:00"/>
    <x v="1"/>
    <n v="21888"/>
    <s v="MOLETOM PA TUBULAR BRANCO"/>
    <x v="1"/>
    <x v="1"/>
    <x v="2"/>
    <x v="9"/>
    <x v="8"/>
    <x v="9"/>
  </r>
  <r>
    <x v="0"/>
    <x v="12"/>
    <x v="0"/>
    <x v="0"/>
    <d v="2026-03-29T21:27:00"/>
    <d v="2026-03-30T00:21:00"/>
    <x v="0"/>
    <n v="2962"/>
    <s v="POLIÉSTER FIADO CINZA CLARO"/>
    <x v="0"/>
    <x v="0"/>
    <x v="0"/>
    <x v="10"/>
    <x v="1"/>
    <x v="10"/>
  </r>
  <r>
    <x v="0"/>
    <x v="13"/>
    <x v="1"/>
    <x v="9"/>
    <d v="2026-03-29T21:58:00"/>
    <d v="2026-03-29T23:21:00"/>
    <x v="7"/>
    <n v="14539"/>
    <s v="MOLETOM MESCLA PA TUBULAR"/>
    <x v="0"/>
    <x v="2"/>
    <x v="2"/>
    <x v="9"/>
    <x v="8"/>
    <x v="9"/>
  </r>
  <r>
    <x v="3"/>
    <x v="14"/>
    <x v="0"/>
    <x v="8"/>
    <d v="2026-03-29T22:08:00"/>
    <d v="2026-03-30T01:13:00"/>
    <x v="6"/>
    <n v="3618"/>
    <s v="M/M 24/1 18 TRAMAS SALMAO BEBÊ (P) ESTAMPADO"/>
    <x v="0"/>
    <x v="0"/>
    <x v="0"/>
    <x v="11"/>
    <x v="7"/>
    <x v="11"/>
  </r>
  <r>
    <x v="3"/>
    <x v="15"/>
    <x v="0"/>
    <x v="8"/>
    <d v="2026-03-29T22:08:00"/>
    <d v="2026-03-30T01:13:00"/>
    <x v="6"/>
    <n v="3618"/>
    <s v="M/M 24/1 18 TRAMAS SALMAO BEBÊ (P) ESTAMPADO"/>
    <x v="0"/>
    <x v="0"/>
    <x v="0"/>
    <x v="11"/>
    <x v="7"/>
    <x v="11"/>
  </r>
  <r>
    <x v="0"/>
    <x v="16"/>
    <x v="0"/>
    <x v="3"/>
    <d v="2026-03-29T23:08:00"/>
    <d v="2026-03-30T00:34:00"/>
    <x v="0"/>
    <n v="1825"/>
    <s v="POLIÉSTER FIADO BRANCO"/>
    <x v="0"/>
    <x v="0"/>
    <x v="0"/>
    <x v="12"/>
    <x v="9"/>
    <x v="12"/>
  </r>
  <r>
    <x v="4"/>
    <x v="17"/>
    <x v="1"/>
    <x v="9"/>
    <d v="2026-03-29T23:22:00"/>
    <d v="2026-03-30T01:31:00"/>
    <x v="8"/>
    <n v="10915"/>
    <s v="RIBANA 30/1 OE MARFIM"/>
    <x v="0"/>
    <x v="2"/>
    <x v="2"/>
    <x v="9"/>
    <x v="8"/>
    <x v="9"/>
  </r>
  <r>
    <x v="4"/>
    <x v="18"/>
    <x v="1"/>
    <x v="9"/>
    <d v="2026-03-29T23:22:00"/>
    <d v="2026-03-30T01:31:00"/>
    <x v="9"/>
    <n v="258"/>
    <s v="M/M 30/1 PENTEADO MARFIM"/>
    <x v="0"/>
    <x v="2"/>
    <x v="2"/>
    <x v="9"/>
    <x v="8"/>
    <x v="9"/>
  </r>
  <r>
    <x v="0"/>
    <x v="19"/>
    <x v="0"/>
    <x v="6"/>
    <d v="2026-03-29T23:33:00"/>
    <d v="2026-03-30T03:28:00"/>
    <x v="4"/>
    <n v="979"/>
    <s v="HELANQUINHA DRY FIT CHUMBO"/>
    <x v="0"/>
    <x v="0"/>
    <x v="0"/>
    <x v="13"/>
    <x v="5"/>
    <x v="13"/>
  </r>
  <r>
    <x v="0"/>
    <x v="20"/>
    <x v="1"/>
    <x v="5"/>
    <d v="2026-03-29T23:58:00"/>
    <d v="2026-03-30T03:32:00"/>
    <x v="5"/>
    <n v="206"/>
    <s v="M/M 30/1 CARDADA OE BRANCO"/>
    <x v="2"/>
    <x v="1"/>
    <x v="2"/>
    <x v="9"/>
    <x v="8"/>
    <x v="9"/>
  </r>
  <r>
    <x v="0"/>
    <x v="21"/>
    <x v="1"/>
    <x v="0"/>
    <d v="2026-03-30T00:22:00"/>
    <d v="2026-03-30T01:45:00"/>
    <x v="7"/>
    <n v="14539"/>
    <s v="MOLETOM MESCLA PA TUBULAR"/>
    <x v="1"/>
    <x v="1"/>
    <x v="2"/>
    <x v="9"/>
    <x v="8"/>
    <x v="9"/>
  </r>
  <r>
    <x v="5"/>
    <x v="22"/>
    <x v="1"/>
    <x v="4"/>
    <d v="2026-03-30T00:29:00"/>
    <d v="2026-03-30T05:55:00"/>
    <x v="3"/>
    <n v="12247"/>
    <s v="VISCOLYCRA VORTEX MARINHO"/>
    <x v="0"/>
    <x v="2"/>
    <x v="2"/>
    <x v="9"/>
    <x v="8"/>
    <x v="9"/>
  </r>
  <r>
    <x v="5"/>
    <x v="23"/>
    <x v="1"/>
    <x v="4"/>
    <d v="2026-03-30T00:29:00"/>
    <d v="2026-03-30T05:55:00"/>
    <x v="3"/>
    <n v="12247"/>
    <s v="VISCOLYCRA VORTEX MARINHO"/>
    <x v="2"/>
    <x v="3"/>
    <x v="2"/>
    <x v="9"/>
    <x v="8"/>
    <x v="9"/>
  </r>
  <r>
    <x v="0"/>
    <x v="24"/>
    <x v="1"/>
    <x v="3"/>
    <d v="2026-03-30T00:35:00"/>
    <d v="2026-03-30T02:01:00"/>
    <x v="0"/>
    <n v="1825"/>
    <s v="POLIÉSTER FIADO BRANCO"/>
    <x v="0"/>
    <x v="2"/>
    <x v="2"/>
    <x v="9"/>
    <x v="8"/>
    <x v="9"/>
  </r>
  <r>
    <x v="0"/>
    <x v="25"/>
    <x v="0"/>
    <x v="7"/>
    <d v="2026-03-30T01:04:00"/>
    <d v="2026-03-30T09:53:00"/>
    <x v="10"/>
    <n v="12303"/>
    <s v="RIBANA 30/1 PV ROYAL"/>
    <x v="0"/>
    <x v="0"/>
    <x v="0"/>
    <x v="14"/>
    <x v="10"/>
    <x v="14"/>
  </r>
  <r>
    <x v="6"/>
    <x v="26"/>
    <x v="1"/>
    <x v="8"/>
    <d v="2026-03-30T01:14:00"/>
    <d v="2026-03-30T04:19:00"/>
    <x v="6"/>
    <n v="3395"/>
    <s v="M/M 24/1 18 TRAMAS ROSA BEBÊ (P) ESTAMPADO"/>
    <x v="0"/>
    <x v="2"/>
    <x v="2"/>
    <x v="9"/>
    <x v="8"/>
    <x v="9"/>
  </r>
  <r>
    <x v="6"/>
    <x v="27"/>
    <x v="1"/>
    <x v="8"/>
    <d v="2026-03-30T01:14:00"/>
    <d v="2026-03-30T04:19:00"/>
    <x v="6"/>
    <n v="3395"/>
    <s v="M/M 24/1 18 TRAMAS ROSA BEBÊ (P) ESTAMPADO"/>
    <x v="0"/>
    <x v="2"/>
    <x v="2"/>
    <x v="9"/>
    <x v="8"/>
    <x v="9"/>
  </r>
  <r>
    <x v="0"/>
    <x v="28"/>
    <x v="0"/>
    <x v="10"/>
    <d v="2026-03-30T01:22:00"/>
    <d v="2026-03-30T07:49:00"/>
    <x v="9"/>
    <n v="1462"/>
    <s v="M/M 30/1 PENTEADO TURQUESA"/>
    <x v="2"/>
    <x v="1"/>
    <x v="0"/>
    <x v="15"/>
    <x v="11"/>
    <x v="15"/>
  </r>
  <r>
    <x v="7"/>
    <x v="29"/>
    <x v="1"/>
    <x v="9"/>
    <d v="2026-03-30T01:32:00"/>
    <d v="2026-03-30T03:41:00"/>
    <x v="9"/>
    <n v="258"/>
    <s v="M/M 30/1 PENTEADO MARFIM"/>
    <x v="0"/>
    <x v="2"/>
    <x v="2"/>
    <x v="9"/>
    <x v="8"/>
    <x v="9"/>
  </r>
  <r>
    <x v="7"/>
    <x v="30"/>
    <x v="1"/>
    <x v="9"/>
    <d v="2026-03-30T01:32:00"/>
    <d v="2026-03-30T03:41:00"/>
    <x v="11"/>
    <n v="22637"/>
    <s v="RIBANA 2X1 24/1 OE MARFIM"/>
    <x v="0"/>
    <x v="2"/>
    <x v="2"/>
    <x v="9"/>
    <x v="8"/>
    <x v="9"/>
  </r>
  <r>
    <x v="0"/>
    <x v="31"/>
    <x v="1"/>
    <x v="0"/>
    <d v="2026-03-30T01:46:00"/>
    <d v="2026-03-30T05:08:00"/>
    <x v="6"/>
    <n v="1778"/>
    <s v="M/M 24/1 18 TRAMAS AMARELO BEBÊ (P) ESTAMPADO"/>
    <x v="0"/>
    <x v="2"/>
    <x v="2"/>
    <x v="9"/>
    <x v="8"/>
    <x v="9"/>
  </r>
  <r>
    <x v="0"/>
    <x v="32"/>
    <x v="1"/>
    <x v="3"/>
    <d v="2026-03-30T02:02:00"/>
    <d v="2026-03-30T05:20:00"/>
    <x v="5"/>
    <n v="206"/>
    <s v="M/M 30/1 CARDADA OE BRANCO"/>
    <x v="0"/>
    <x v="2"/>
    <x v="2"/>
    <x v="9"/>
    <x v="8"/>
    <x v="9"/>
  </r>
  <r>
    <x v="0"/>
    <x v="33"/>
    <x v="1"/>
    <x v="6"/>
    <d v="2026-03-30T03:29:00"/>
    <d v="2026-03-30T07:26:00"/>
    <x v="12"/>
    <n v="980"/>
    <s v="SUPLEX ESPECIAL CHUMBO"/>
    <x v="2"/>
    <x v="1"/>
    <x v="2"/>
    <x v="9"/>
    <x v="8"/>
    <x v="9"/>
  </r>
  <r>
    <x v="0"/>
    <x v="34"/>
    <x v="0"/>
    <x v="9"/>
    <d v="2026-03-30T03:42:00"/>
    <d v="2026-03-30T08:57:00"/>
    <x v="1"/>
    <n v="21446"/>
    <s v="MOLETOM PA TUBULAR CAQUI"/>
    <x v="1"/>
    <x v="1"/>
    <x v="0"/>
    <x v="16"/>
    <x v="12"/>
    <x v="16"/>
  </r>
  <r>
    <x v="8"/>
    <x v="35"/>
    <x v="1"/>
    <x v="8"/>
    <d v="2026-03-30T04:20:00"/>
    <d v="2026-03-30T07:31:00"/>
    <x v="6"/>
    <n v="10308"/>
    <s v="M/M 24/1 18 TRAMAS LILÁS CLARO (P) ESTAMPADO"/>
    <x v="2"/>
    <x v="1"/>
    <x v="2"/>
    <x v="9"/>
    <x v="8"/>
    <x v="9"/>
  </r>
  <r>
    <x v="8"/>
    <x v="36"/>
    <x v="1"/>
    <x v="8"/>
    <d v="2026-03-30T04:20:00"/>
    <d v="2026-03-30T07:31:00"/>
    <x v="6"/>
    <n v="10308"/>
    <s v="M/M 24/1 18 TRAMAS LILÁS CLARO (P) ESTAMPADO"/>
    <x v="2"/>
    <x v="1"/>
    <x v="2"/>
    <x v="9"/>
    <x v="8"/>
    <x v="9"/>
  </r>
  <r>
    <x v="0"/>
    <x v="37"/>
    <x v="1"/>
    <x v="2"/>
    <d v="2026-03-30T05:02:00"/>
    <d v="2026-03-30T08:21:00"/>
    <x v="0"/>
    <n v="3483"/>
    <s v="POLIÉSTER FIADO VERDE ESPECIAL"/>
    <x v="2"/>
    <x v="1"/>
    <x v="2"/>
    <x v="9"/>
    <x v="8"/>
    <x v="9"/>
  </r>
  <r>
    <x v="0"/>
    <x v="38"/>
    <x v="1"/>
    <x v="0"/>
    <d v="2026-03-30T05:09:00"/>
    <d v="2026-03-30T08:31:00"/>
    <x v="6"/>
    <n v="1778"/>
    <s v="M/M 24/1 18 TRAMAS AMARELO BEBÊ (P) ESTAMPADO"/>
    <x v="2"/>
    <x v="1"/>
    <x v="2"/>
    <x v="9"/>
    <x v="8"/>
    <x v="9"/>
  </r>
  <r>
    <x v="0"/>
    <x v="39"/>
    <x v="1"/>
    <x v="3"/>
    <d v="2026-03-30T05:21:00"/>
    <d v="2026-03-30T08:39:00"/>
    <x v="5"/>
    <n v="206"/>
    <s v="M/M 30/1 CARDADA OE BRANCO"/>
    <x v="0"/>
    <x v="2"/>
    <x v="2"/>
    <x v="9"/>
    <x v="8"/>
    <x v="9"/>
  </r>
  <r>
    <x v="0"/>
    <x v="40"/>
    <x v="1"/>
    <x v="6"/>
    <d v="2026-03-30T07:27:00"/>
    <d v="2026-03-30T11:44:00"/>
    <x v="4"/>
    <n v="965"/>
    <s v="HELANQUINHA DRY FIT MARINHO"/>
    <x v="2"/>
    <x v="1"/>
    <x v="2"/>
    <x v="9"/>
    <x v="8"/>
    <x v="9"/>
  </r>
  <r>
    <x v="9"/>
    <x v="41"/>
    <x v="1"/>
    <x v="8"/>
    <d v="2026-03-30T07:32:00"/>
    <d v="2026-03-30T09:08:00"/>
    <x v="0"/>
    <n v="1825"/>
    <s v="POLIÉSTER FIADO BRANCO"/>
    <x v="0"/>
    <x v="2"/>
    <x v="2"/>
    <x v="9"/>
    <x v="8"/>
    <x v="9"/>
  </r>
  <r>
    <x v="9"/>
    <x v="42"/>
    <x v="1"/>
    <x v="8"/>
    <d v="2026-03-30T07:32:00"/>
    <d v="2026-03-30T09:08:00"/>
    <x v="0"/>
    <n v="1825"/>
    <s v="POLIÉSTER FIADO BRANCO"/>
    <x v="0"/>
    <x v="2"/>
    <x v="2"/>
    <x v="9"/>
    <x v="8"/>
    <x v="9"/>
  </r>
  <r>
    <x v="0"/>
    <x v="43"/>
    <x v="1"/>
    <x v="10"/>
    <d v="2026-03-30T07:50:00"/>
    <d v="2026-03-30T13:51:00"/>
    <x v="9"/>
    <n v="1482"/>
    <s v="M/M 30/1 PENTEADO BORDÔ"/>
    <x v="2"/>
    <x v="1"/>
    <x v="2"/>
    <x v="9"/>
    <x v="8"/>
    <x v="9"/>
  </r>
  <r>
    <x v="0"/>
    <x v="44"/>
    <x v="1"/>
    <x v="2"/>
    <d v="2026-03-30T08:22:00"/>
    <d v="2026-03-30T14:21:00"/>
    <x v="9"/>
    <n v="1523"/>
    <s v="M/M 30/1 PENTEADO VERDE JADE"/>
    <x v="2"/>
    <x v="1"/>
    <x v="2"/>
    <x v="9"/>
    <x v="8"/>
    <x v="9"/>
  </r>
  <r>
    <x v="0"/>
    <x v="45"/>
    <x v="1"/>
    <x v="0"/>
    <d v="2026-03-30T08:32:00"/>
    <d v="2026-03-30T11:54:00"/>
    <x v="6"/>
    <n v="1778"/>
    <s v="M/M 24/1 18 TRAMAS AMARELO BEBÊ (P) ESTAMPADO"/>
    <x v="2"/>
    <x v="1"/>
    <x v="2"/>
    <x v="9"/>
    <x v="8"/>
    <x v="9"/>
  </r>
  <r>
    <x v="0"/>
    <x v="46"/>
    <x v="1"/>
    <x v="3"/>
    <d v="2026-03-30T08:40:00"/>
    <d v="2026-03-30T10:44:00"/>
    <x v="4"/>
    <n v="1654"/>
    <s v="HELANQUINHA DRY FIT BRANCO"/>
    <x v="0"/>
    <x v="2"/>
    <x v="2"/>
    <x v="9"/>
    <x v="8"/>
    <x v="9"/>
  </r>
  <r>
    <x v="0"/>
    <x v="47"/>
    <x v="1"/>
    <x v="9"/>
    <d v="2026-03-30T08:58:00"/>
    <d v="2026-03-30T13:28:00"/>
    <x v="1"/>
    <n v="14534"/>
    <s v="MOLETOM PA TUBULAR ROSA BEBÊ"/>
    <x v="1"/>
    <x v="1"/>
    <x v="2"/>
    <x v="9"/>
    <x v="8"/>
    <x v="9"/>
  </r>
  <r>
    <x v="10"/>
    <x v="48"/>
    <x v="1"/>
    <x v="8"/>
    <d v="2026-03-30T09:09:00"/>
    <d v="2026-03-30T10:45:00"/>
    <x v="0"/>
    <n v="1825"/>
    <s v="POLIÉSTER FIADO BRANCO"/>
    <x v="2"/>
    <x v="1"/>
    <x v="2"/>
    <x v="9"/>
    <x v="8"/>
    <x v="9"/>
  </r>
  <r>
    <x v="10"/>
    <x v="49"/>
    <x v="1"/>
    <x v="8"/>
    <d v="2026-03-30T09:09:00"/>
    <d v="2026-03-30T10:45:00"/>
    <x v="0"/>
    <n v="1825"/>
    <s v="POLIÉSTER FIADO BRANCO"/>
    <x v="2"/>
    <x v="1"/>
    <x v="2"/>
    <x v="9"/>
    <x v="8"/>
    <x v="9"/>
  </r>
  <r>
    <x v="0"/>
    <x v="50"/>
    <x v="0"/>
    <x v="7"/>
    <d v="2026-03-30T09:54:00"/>
    <d v="2026-03-30T14:24:00"/>
    <x v="4"/>
    <n v="1108"/>
    <s v="HELANQUINHA DRY FIT ROYAL"/>
    <x v="0"/>
    <x v="0"/>
    <x v="0"/>
    <x v="17"/>
    <x v="10"/>
    <x v="17"/>
  </r>
  <r>
    <x v="0"/>
    <x v="51"/>
    <x v="1"/>
    <x v="3"/>
    <d v="2026-03-30T10:45:00"/>
    <d v="2026-03-30T14:07:00"/>
    <x v="13"/>
    <n v="230"/>
    <s v="SUPLEX LIGHT UV 50+ BRANCO"/>
    <x v="2"/>
    <x v="1"/>
    <x v="2"/>
    <x v="9"/>
    <x v="8"/>
    <x v="9"/>
  </r>
  <r>
    <x v="11"/>
    <x v="52"/>
    <x v="1"/>
    <x v="8"/>
    <d v="2026-03-30T10:46:00"/>
    <d v="2026-03-30T14:18:00"/>
    <x v="12"/>
    <n v="223"/>
    <s v="SUPLEX ESPECIAL BRANCO"/>
    <x v="2"/>
    <x v="1"/>
    <x v="2"/>
    <x v="9"/>
    <x v="8"/>
    <x v="9"/>
  </r>
  <r>
    <x v="11"/>
    <x v="53"/>
    <x v="1"/>
    <x v="8"/>
    <d v="2026-03-30T10:46:00"/>
    <d v="2026-03-30T14:18:00"/>
    <x v="12"/>
    <n v="223"/>
    <s v="SUPLEX ESPECIAL BRANCO"/>
    <x v="2"/>
    <x v="1"/>
    <x v="2"/>
    <x v="9"/>
    <x v="8"/>
    <x v="9"/>
  </r>
  <r>
    <x v="0"/>
    <x v="54"/>
    <x v="1"/>
    <x v="0"/>
    <d v="2026-03-30T11:55:00"/>
    <d v="2026-03-30T14:04:00"/>
    <x v="6"/>
    <n v="3392"/>
    <s v="M/M 24/1 18 TRAMAS MARFIM (P) ESTAMPADO"/>
    <x v="2"/>
    <x v="1"/>
    <x v="2"/>
    <x v="9"/>
    <x v="8"/>
    <x v="9"/>
  </r>
  <r>
    <x v="0"/>
    <x v="55"/>
    <x v="1"/>
    <x v="9"/>
    <d v="2026-03-30T13:29:00"/>
    <d v="2026-03-30T16:51:00"/>
    <x v="14"/>
    <n v="1325"/>
    <s v="COTTON 4% OE ROSA CHICLETE"/>
    <x v="0"/>
    <x v="2"/>
    <x v="2"/>
    <x v="9"/>
    <x v="8"/>
    <x v="9"/>
  </r>
  <r>
    <x v="0"/>
    <x v="56"/>
    <x v="1"/>
    <x v="0"/>
    <d v="2026-03-30T14:05:00"/>
    <d v="2026-03-30T16:14:00"/>
    <x v="6"/>
    <n v="3392"/>
    <s v="M/M 24/1 18 TRAMAS MARFIM (P) ESTAMPADO"/>
    <x v="2"/>
    <x v="1"/>
    <x v="2"/>
    <x v="9"/>
    <x v="8"/>
    <x v="9"/>
  </r>
  <r>
    <x v="0"/>
    <x v="57"/>
    <x v="1"/>
    <x v="3"/>
    <d v="2026-03-30T14:08:00"/>
    <d v="2026-03-30T19:11:00"/>
    <x v="3"/>
    <n v="15517"/>
    <s v="VISCOLYCRA VORTEX FERRUGEM CLARO"/>
    <x v="2"/>
    <x v="1"/>
    <x v="2"/>
    <x v="9"/>
    <x v="8"/>
    <x v="9"/>
  </r>
  <r>
    <x v="12"/>
    <x v="58"/>
    <x v="1"/>
    <x v="8"/>
    <d v="2026-03-30T14:19:00"/>
    <d v="2026-03-30T16:38:00"/>
    <x v="6"/>
    <n v="3392"/>
    <s v="M/M 24/1 18 TRAMAS MARFIM (P) ESTAMPADO"/>
    <x v="2"/>
    <x v="1"/>
    <x v="2"/>
    <x v="9"/>
    <x v="8"/>
    <x v="9"/>
  </r>
  <r>
    <x v="12"/>
    <x v="59"/>
    <x v="1"/>
    <x v="8"/>
    <d v="2026-03-30T14:19:00"/>
    <d v="2026-03-30T16:38:00"/>
    <x v="6"/>
    <n v="3392"/>
    <s v="M/M 24/1 18 TRAMAS MARFIM (P) ESTAMPADO"/>
    <x v="2"/>
    <x v="1"/>
    <x v="2"/>
    <x v="9"/>
    <x v="8"/>
    <x v="9"/>
  </r>
  <r>
    <x v="0"/>
    <x v="60"/>
    <x v="1"/>
    <x v="7"/>
    <d v="2026-03-30T14:25:00"/>
    <d v="2026-03-30T19:47:00"/>
    <x v="3"/>
    <n v="15695"/>
    <s v="VISCOLYCRA VORTEX PETRÓLEO"/>
    <x v="2"/>
    <x v="1"/>
    <x v="2"/>
    <x v="9"/>
    <x v="8"/>
    <x v="9"/>
  </r>
  <r>
    <x v="0"/>
    <x v="61"/>
    <x v="1"/>
    <x v="6"/>
    <d v="2026-03-30T14:41:00"/>
    <d v="2026-03-30T18:36:00"/>
    <x v="15"/>
    <n v="1972"/>
    <s v="HELANCA 100%PES CHUMBO"/>
    <x v="2"/>
    <x v="1"/>
    <x v="2"/>
    <x v="9"/>
    <x v="8"/>
    <x v="9"/>
  </r>
  <r>
    <x v="13"/>
    <x v="62"/>
    <x v="1"/>
    <x v="8"/>
    <d v="2026-03-30T16:39:00"/>
    <d v="2026-03-30T18:58:00"/>
    <x v="6"/>
    <n v="3392"/>
    <s v="M/M 24/1 18 TRAMAS MARFIM (P) ESTAMPADO"/>
    <x v="2"/>
    <x v="1"/>
    <x v="2"/>
    <x v="9"/>
    <x v="8"/>
    <x v="9"/>
  </r>
  <r>
    <x v="13"/>
    <x v="63"/>
    <x v="1"/>
    <x v="8"/>
    <d v="2026-03-30T16:39:00"/>
    <d v="2026-03-30T18:58:00"/>
    <x v="6"/>
    <n v="3392"/>
    <s v="M/M 24/1 18 TRAMAS MARFIM (P) ESTAMPADO"/>
    <x v="2"/>
    <x v="1"/>
    <x v="2"/>
    <x v="9"/>
    <x v="8"/>
    <x v="9"/>
  </r>
  <r>
    <x v="0"/>
    <x v="64"/>
    <x v="1"/>
    <x v="9"/>
    <d v="2026-03-30T16:52:00"/>
    <d v="2026-03-30T21:22:00"/>
    <x v="1"/>
    <n v="14534"/>
    <s v="MOLETOM PA TUBULAR ROSA BEBÊ"/>
    <x v="2"/>
    <x v="1"/>
    <x v="2"/>
    <x v="9"/>
    <x v="8"/>
    <x v="9"/>
  </r>
  <r>
    <x v="14"/>
    <x v="65"/>
    <x v="1"/>
    <x v="8"/>
    <d v="2026-03-30T18:59:00"/>
    <d v="2026-03-30T20:35:00"/>
    <x v="0"/>
    <n v="1825"/>
    <s v="POLIÉSTER FIADO BRANCO"/>
    <x v="2"/>
    <x v="1"/>
    <x v="2"/>
    <x v="9"/>
    <x v="8"/>
    <x v="9"/>
  </r>
  <r>
    <x v="14"/>
    <x v="66"/>
    <x v="1"/>
    <x v="8"/>
    <d v="2026-03-30T18:59:00"/>
    <d v="2026-03-30T20:35:00"/>
    <x v="0"/>
    <n v="1825"/>
    <s v="POLIÉSTER FIADO BRANCO"/>
    <x v="2"/>
    <x v="1"/>
    <x v="2"/>
    <x v="9"/>
    <x v="8"/>
    <x v="9"/>
  </r>
  <r>
    <x v="15"/>
    <x v="67"/>
    <x v="1"/>
    <x v="3"/>
    <d v="2026-03-30T19:12:00"/>
    <d v="2026-03-30T23:42:00"/>
    <x v="16"/>
    <n v="9164"/>
    <s v="PIQUE PA ROSA BEBÊ"/>
    <x v="2"/>
    <x v="1"/>
    <x v="2"/>
    <x v="9"/>
    <x v="8"/>
    <x v="9"/>
  </r>
  <r>
    <x v="15"/>
    <x v="68"/>
    <x v="1"/>
    <x v="3"/>
    <d v="2026-03-30T19:12:00"/>
    <d v="2026-03-30T23:42:00"/>
    <x v="17"/>
    <n v="541"/>
    <s v="GOLA PA ROSA BEBÊ"/>
    <x v="2"/>
    <x v="1"/>
    <x v="2"/>
    <x v="9"/>
    <x v="8"/>
    <x v="9"/>
  </r>
  <r>
    <x v="16"/>
    <x v="69"/>
    <x v="1"/>
    <x v="7"/>
    <d v="2026-03-30T19:48:00"/>
    <d v="2026-03-31T01:04:00"/>
    <x v="3"/>
    <n v="12248"/>
    <s v="VISCOLYCRA VORTEX VERDE MILITAR"/>
    <x v="2"/>
    <x v="1"/>
    <x v="2"/>
    <x v="9"/>
    <x v="8"/>
    <x v="9"/>
  </r>
  <r>
    <x v="16"/>
    <x v="70"/>
    <x v="1"/>
    <x v="7"/>
    <d v="2026-03-30T19:48:00"/>
    <d v="2026-03-31T01:04:00"/>
    <x v="3"/>
    <n v="12248"/>
    <s v="VISCOLYCRA VORTEX VERDE MILITAR"/>
    <x v="2"/>
    <x v="1"/>
    <x v="2"/>
    <x v="9"/>
    <x v="8"/>
    <x v="9"/>
  </r>
  <r>
    <x v="17"/>
    <x v="71"/>
    <x v="1"/>
    <x v="8"/>
    <d v="2026-03-30T20:36:00"/>
    <d v="2026-03-30T22:12:00"/>
    <x v="0"/>
    <n v="1825"/>
    <s v="POLIÉSTER FIADO BRANCO"/>
    <x v="2"/>
    <x v="1"/>
    <x v="2"/>
    <x v="9"/>
    <x v="8"/>
    <x v="9"/>
  </r>
  <r>
    <x v="17"/>
    <x v="72"/>
    <x v="1"/>
    <x v="8"/>
    <d v="2026-03-30T20:36:00"/>
    <d v="2026-03-30T22:12:00"/>
    <x v="0"/>
    <n v="1825"/>
    <s v="POLIÉSTER FIADO BRANCO"/>
    <x v="2"/>
    <x v="1"/>
    <x v="2"/>
    <x v="9"/>
    <x v="8"/>
    <x v="9"/>
  </r>
  <r>
    <x v="0"/>
    <x v="73"/>
    <x v="1"/>
    <x v="9"/>
    <d v="2026-03-30T21:23:00"/>
    <d v="2026-03-31T00:18:00"/>
    <x v="6"/>
    <n v="3618"/>
    <s v="M/M 24/1 18 TRAMAS SALMAO BEBÊ (P) ESTAMPADO"/>
    <x v="2"/>
    <x v="1"/>
    <x v="2"/>
    <x v="9"/>
    <x v="8"/>
    <x v="9"/>
  </r>
  <r>
    <x v="18"/>
    <x v="74"/>
    <x v="1"/>
    <x v="8"/>
    <d v="2026-03-30T22:13:00"/>
    <d v="2026-03-30T23:49:00"/>
    <x v="0"/>
    <n v="1825"/>
    <s v="POLIÉSTER FIADO BRANCO"/>
    <x v="2"/>
    <x v="1"/>
    <x v="2"/>
    <x v="9"/>
    <x v="8"/>
    <x v="9"/>
  </r>
  <r>
    <x v="18"/>
    <x v="75"/>
    <x v="1"/>
    <x v="8"/>
    <d v="2026-03-30T22:13:00"/>
    <d v="2026-03-30T23:49:00"/>
    <x v="0"/>
    <n v="1825"/>
    <s v="POLIÉSTER FIADO BRANCO"/>
    <x v="2"/>
    <x v="1"/>
    <x v="2"/>
    <x v="9"/>
    <x v="8"/>
    <x v="9"/>
  </r>
  <r>
    <x v="0"/>
    <x v="76"/>
    <x v="1"/>
    <x v="9"/>
    <d v="2026-03-31T00:19:00"/>
    <d v="2026-03-31T03:14:00"/>
    <x v="6"/>
    <n v="3393"/>
    <s v="M/M 24/1 18 TRAMAS AZUL BEBÊ (P) ESTAMPADO"/>
    <x v="2"/>
    <x v="1"/>
    <x v="2"/>
    <x v="9"/>
    <x v="8"/>
    <x v="9"/>
  </r>
  <r>
    <x v="19"/>
    <x v="77"/>
    <x v="1"/>
    <x v="7"/>
    <d v="2026-03-31T01:05:00"/>
    <d v="2026-03-31T06:21:00"/>
    <x v="3"/>
    <n v="12248"/>
    <s v="VISCOLYCRA VORTEX VERDE MILITAR"/>
    <x v="2"/>
    <x v="1"/>
    <x v="2"/>
    <x v="9"/>
    <x v="8"/>
    <x v="9"/>
  </r>
  <r>
    <x v="19"/>
    <x v="78"/>
    <x v="1"/>
    <x v="7"/>
    <d v="2026-03-31T01:05:00"/>
    <d v="2026-03-31T06:21:00"/>
    <x v="3"/>
    <n v="12248"/>
    <s v="VISCOLYCRA VORTEX VERDE MILITAR"/>
    <x v="2"/>
    <x v="1"/>
    <x v="2"/>
    <x v="9"/>
    <x v="8"/>
    <x v="9"/>
  </r>
  <r>
    <x v="0"/>
    <x v="79"/>
    <x v="1"/>
    <x v="9"/>
    <d v="2026-03-31T03:15:00"/>
    <d v="2026-03-31T06:37:00"/>
    <x v="6"/>
    <n v="3394"/>
    <s v="M/M 24/1 18 TRAMAS VERDE BEBÊ (P) ESTAMPADO"/>
    <x v="2"/>
    <x v="1"/>
    <x v="2"/>
    <x v="9"/>
    <x v="8"/>
    <x v="9"/>
  </r>
  <r>
    <x v="0"/>
    <x v="80"/>
    <x v="1"/>
    <x v="3"/>
    <d v="2026-03-31T18:40:00"/>
    <d v="2026-03-31T21:35:00"/>
    <x v="5"/>
    <n v="2430"/>
    <s v="M/M 30/1 CARDADA OE ROSA CHICLETE"/>
    <x v="2"/>
    <x v="1"/>
    <x v="2"/>
    <x v="9"/>
    <x v="8"/>
    <x v="9"/>
  </r>
  <r>
    <x v="0"/>
    <x v="81"/>
    <x v="1"/>
    <x v="3"/>
    <d v="2026-03-31T21:36:00"/>
    <d v="2026-04-01T00:36:00"/>
    <x v="5"/>
    <n v="2429"/>
    <s v="M/M 30/1 CARDADA OE ROSA BEBÊ"/>
    <x v="2"/>
    <x v="1"/>
    <x v="2"/>
    <x v="9"/>
    <x v="8"/>
    <x v="9"/>
  </r>
  <r>
    <x v="0"/>
    <x v="82"/>
    <x v="1"/>
    <x v="3"/>
    <d v="2026-04-01T00:37:00"/>
    <d v="2026-04-01T03:38:00"/>
    <x v="5"/>
    <n v="2428"/>
    <s v="M/M 30/1 CARDADA OE CINZA CLARO"/>
    <x v="2"/>
    <x v="1"/>
    <x v="2"/>
    <x v="9"/>
    <x v="8"/>
    <x v="9"/>
  </r>
  <r>
    <x v="0"/>
    <x v="83"/>
    <x v="1"/>
    <x v="7"/>
    <d v="2026-04-01T03:00:00"/>
    <d v="2026-04-01T09:19:00"/>
    <x v="1"/>
    <n v="14566"/>
    <s v="MOLETOM PA TUBULAR VINHO"/>
    <x v="2"/>
    <x v="1"/>
    <x v="2"/>
    <x v="9"/>
    <x v="8"/>
    <x v="9"/>
  </r>
  <r>
    <x v="0"/>
    <x v="84"/>
    <x v="1"/>
    <x v="3"/>
    <d v="2026-04-01T03:39:00"/>
    <d v="2026-04-01T06:39:00"/>
    <x v="5"/>
    <n v="2853"/>
    <s v="M/M 30/1 CARDADA OE AZUL BEBÊ"/>
    <x v="2"/>
    <x v="1"/>
    <x v="2"/>
    <x v="9"/>
    <x v="8"/>
    <x v="9"/>
  </r>
  <r>
    <x v="0"/>
    <x v="85"/>
    <x v="1"/>
    <x v="3"/>
    <d v="2026-04-01T06:40:00"/>
    <d v="2026-04-01T09:40:00"/>
    <x v="5"/>
    <n v="2427"/>
    <s v="M/M 30/1 CARDADA OE AMARELO BEBÊ"/>
    <x v="0"/>
    <x v="2"/>
    <x v="2"/>
    <x v="9"/>
    <x v="8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04" firstHeaderRow="1" firstDataRow="1" firstDataCol="1" rowPageCount="1" colPageCount="1"/>
  <pivotFields count="15">
    <pivotField axis="axisRow" showAll="0" defaultSubtotal="0">
      <items count="20">
        <item x="0"/>
        <item x="4"/>
        <item x="7"/>
        <item x="2"/>
        <item x="1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showAll="0" sortType="ascending" defaultSubtotal="0">
      <items count="86">
        <item x="13"/>
        <item x="18"/>
        <item x="17"/>
        <item x="30"/>
        <item x="29"/>
        <item x="8"/>
        <item x="34"/>
        <item x="0"/>
        <item x="2"/>
        <item x="3"/>
        <item x="6"/>
        <item x="7"/>
        <item x="9"/>
        <item x="10"/>
        <item x="4"/>
        <item x="5"/>
        <item x="1"/>
        <item x="11"/>
        <item x="12"/>
        <item x="15"/>
        <item x="14"/>
        <item x="16"/>
        <item x="19"/>
        <item x="20"/>
        <item x="21"/>
        <item x="24"/>
        <item x="22"/>
        <item x="23"/>
        <item x="25"/>
        <item x="26"/>
        <item x="27"/>
        <item x="31"/>
        <item x="28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0"/>
        <item x="0"/>
        <item x="9"/>
        <item x="3"/>
        <item x="7"/>
        <item x="6"/>
        <item x="2"/>
        <item x="1"/>
        <item x="4"/>
        <item x="5"/>
        <item x="8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01">
    <i>
      <x/>
    </i>
    <i r="1">
      <x/>
    </i>
    <i r="2">
      <x v="43"/>
    </i>
    <i>
      <x v="1"/>
    </i>
    <i r="1">
      <x/>
    </i>
    <i r="2">
      <x v="24"/>
    </i>
    <i r="2">
      <x v="31"/>
    </i>
    <i r="2">
      <x v="38"/>
    </i>
    <i r="2">
      <x v="45"/>
    </i>
    <i r="2">
      <x v="54"/>
    </i>
    <i r="2">
      <x v="56"/>
    </i>
    <i>
      <x v="2"/>
    </i>
    <i r="1">
      <x/>
    </i>
    <i r="2">
      <x/>
    </i>
    <i r="2">
      <x v="47"/>
    </i>
    <i r="2">
      <x v="55"/>
    </i>
    <i r="2">
      <x v="64"/>
    </i>
    <i r="2">
      <x v="73"/>
    </i>
    <i r="2">
      <x v="76"/>
    </i>
    <i r="2">
      <x v="79"/>
    </i>
    <i r="1">
      <x v="1"/>
    </i>
    <i r="2">
      <x v="1"/>
    </i>
    <i r="2">
      <x v="2"/>
    </i>
    <i r="1">
      <x v="2"/>
    </i>
    <i r="2">
      <x v="3"/>
    </i>
    <i r="2">
      <x v="4"/>
    </i>
    <i>
      <x v="3"/>
    </i>
    <i r="1">
      <x/>
    </i>
    <i r="2">
      <x v="25"/>
    </i>
    <i r="2">
      <x v="33"/>
    </i>
    <i r="2">
      <x v="39"/>
    </i>
    <i r="2">
      <x v="46"/>
    </i>
    <i r="2">
      <x v="51"/>
    </i>
    <i r="2">
      <x v="57"/>
    </i>
    <i r="2">
      <x v="80"/>
    </i>
    <i r="2">
      <x v="81"/>
    </i>
    <i r="2">
      <x v="82"/>
    </i>
    <i r="2">
      <x v="84"/>
    </i>
    <i r="2">
      <x v="85"/>
    </i>
    <i r="1">
      <x v="15"/>
    </i>
    <i r="2">
      <x v="67"/>
    </i>
    <i r="2">
      <x v="68"/>
    </i>
    <i>
      <x v="4"/>
    </i>
    <i r="1">
      <x/>
    </i>
    <i r="2">
      <x v="60"/>
    </i>
    <i r="2">
      <x v="83"/>
    </i>
    <i r="1">
      <x v="16"/>
    </i>
    <i r="2">
      <x v="69"/>
    </i>
    <i r="2">
      <x v="70"/>
    </i>
    <i r="1">
      <x v="19"/>
    </i>
    <i r="2">
      <x v="77"/>
    </i>
    <i r="2">
      <x v="78"/>
    </i>
    <i>
      <x v="5"/>
    </i>
    <i r="1">
      <x/>
    </i>
    <i r="2">
      <x v="34"/>
    </i>
    <i r="2">
      <x v="40"/>
    </i>
    <i r="2">
      <x v="61"/>
    </i>
    <i>
      <x v="6"/>
    </i>
    <i r="1">
      <x/>
    </i>
    <i r="2">
      <x v="37"/>
    </i>
    <i r="2">
      <x v="44"/>
    </i>
    <i>
      <x v="8"/>
    </i>
    <i r="1">
      <x v="6"/>
    </i>
    <i r="2">
      <x v="26"/>
    </i>
    <i r="2">
      <x v="27"/>
    </i>
    <i>
      <x v="9"/>
    </i>
    <i r="1">
      <x/>
    </i>
    <i r="2">
      <x v="17"/>
    </i>
    <i r="2">
      <x v="23"/>
    </i>
    <i>
      <x v="10"/>
    </i>
    <i r="1">
      <x v="7"/>
    </i>
    <i r="2">
      <x v="29"/>
    </i>
    <i r="2">
      <x v="30"/>
    </i>
    <i r="1">
      <x v="8"/>
    </i>
    <i r="2">
      <x v="35"/>
    </i>
    <i r="2">
      <x v="36"/>
    </i>
    <i r="1">
      <x v="9"/>
    </i>
    <i r="2">
      <x v="41"/>
    </i>
    <i r="2">
      <x v="42"/>
    </i>
    <i r="1">
      <x v="10"/>
    </i>
    <i r="2">
      <x v="48"/>
    </i>
    <i r="2">
      <x v="49"/>
    </i>
    <i r="1">
      <x v="11"/>
    </i>
    <i r="2">
      <x v="52"/>
    </i>
    <i r="2">
      <x v="53"/>
    </i>
    <i r="1">
      <x v="12"/>
    </i>
    <i r="2">
      <x v="58"/>
    </i>
    <i r="2">
      <x v="59"/>
    </i>
    <i r="1">
      <x v="13"/>
    </i>
    <i r="2">
      <x v="62"/>
    </i>
    <i r="2">
      <x v="63"/>
    </i>
    <i r="1">
      <x v="14"/>
    </i>
    <i r="2">
      <x v="65"/>
    </i>
    <i r="2">
      <x v="66"/>
    </i>
    <i r="1">
      <x v="17"/>
    </i>
    <i r="2">
      <x v="71"/>
    </i>
    <i r="2">
      <x v="72"/>
    </i>
    <i r="1">
      <x v="18"/>
    </i>
    <i r="2">
      <x v="74"/>
    </i>
    <i r="2">
      <x v="75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04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171959</v>
      </c>
      <c r="B6" s="5">
        <v>46111.326388888891</v>
      </c>
    </row>
    <row r="7" spans="1:2" x14ac:dyDescent="0.25">
      <c r="A7" s="2" t="s">
        <v>6</v>
      </c>
      <c r="B7" s="5"/>
    </row>
    <row r="8" spans="1:2" x14ac:dyDescent="0.25">
      <c r="A8" s="3">
        <v>0</v>
      </c>
      <c r="B8" s="5"/>
    </row>
    <row r="9" spans="1:2" x14ac:dyDescent="0.25">
      <c r="A9" s="4">
        <v>171068</v>
      </c>
      <c r="B9" s="5">
        <v>46111.015277777777</v>
      </c>
    </row>
    <row r="10" spans="1:2" x14ac:dyDescent="0.25">
      <c r="A10" s="4">
        <v>171840</v>
      </c>
      <c r="B10" s="5">
        <v>46111.073611111111</v>
      </c>
    </row>
    <row r="11" spans="1:2" x14ac:dyDescent="0.25">
      <c r="A11" s="4">
        <v>171841</v>
      </c>
      <c r="B11" s="5">
        <v>46111.214583333334</v>
      </c>
    </row>
    <row r="12" spans="1:2" x14ac:dyDescent="0.25">
      <c r="A12" s="4">
        <v>171842</v>
      </c>
      <c r="B12" s="5">
        <v>46111.355555555558</v>
      </c>
    </row>
    <row r="13" spans="1:2" x14ac:dyDescent="0.25">
      <c r="A13" s="4">
        <v>171847</v>
      </c>
      <c r="B13" s="5">
        <v>46111.496527777781</v>
      </c>
    </row>
    <row r="14" spans="1:2" x14ac:dyDescent="0.25">
      <c r="A14" s="4">
        <v>171848</v>
      </c>
      <c r="B14" s="5">
        <v>46111.586805555555</v>
      </c>
    </row>
    <row r="15" spans="1:2" x14ac:dyDescent="0.25">
      <c r="A15" s="2" t="s">
        <v>10</v>
      </c>
      <c r="B15" s="5"/>
    </row>
    <row r="16" spans="1:2" x14ac:dyDescent="0.25">
      <c r="A16" s="3">
        <v>0</v>
      </c>
      <c r="B16" s="5"/>
    </row>
    <row r="17" spans="1:2" x14ac:dyDescent="0.25">
      <c r="A17" s="4">
        <v>171067</v>
      </c>
      <c r="B17" s="5">
        <v>46110.915277777778</v>
      </c>
    </row>
    <row r="18" spans="1:2" x14ac:dyDescent="0.25">
      <c r="A18" s="4">
        <v>171061</v>
      </c>
      <c r="B18" s="5">
        <v>46111.373611111114</v>
      </c>
    </row>
    <row r="19" spans="1:2" x14ac:dyDescent="0.25">
      <c r="A19" s="4">
        <v>171978</v>
      </c>
      <c r="B19" s="5">
        <v>46111.561805555553</v>
      </c>
    </row>
    <row r="20" spans="1:2" x14ac:dyDescent="0.25">
      <c r="A20" s="4">
        <v>171062</v>
      </c>
      <c r="B20" s="5">
        <v>46111.702777777777</v>
      </c>
    </row>
    <row r="21" spans="1:2" x14ac:dyDescent="0.25">
      <c r="A21" s="4">
        <v>171851</v>
      </c>
      <c r="B21" s="5">
        <v>46111.890972222223</v>
      </c>
    </row>
    <row r="22" spans="1:2" x14ac:dyDescent="0.25">
      <c r="A22" s="4">
        <v>171854</v>
      </c>
      <c r="B22" s="5">
        <v>46112.013194444444</v>
      </c>
    </row>
    <row r="23" spans="1:2" x14ac:dyDescent="0.25">
      <c r="A23" s="4">
        <v>171857</v>
      </c>
      <c r="B23" s="5">
        <v>46112.135416666664</v>
      </c>
    </row>
    <row r="24" spans="1:2" x14ac:dyDescent="0.25">
      <c r="A24" s="3">
        <v>185547</v>
      </c>
      <c r="B24" s="5"/>
    </row>
    <row r="25" spans="1:2" x14ac:dyDescent="0.25">
      <c r="A25" s="4">
        <v>171549</v>
      </c>
      <c r="B25" s="5">
        <v>46110.973611111112</v>
      </c>
    </row>
    <row r="26" spans="1:2" x14ac:dyDescent="0.25">
      <c r="A26" s="4">
        <v>171551</v>
      </c>
      <c r="B26" s="5">
        <v>46110.973611111112</v>
      </c>
    </row>
    <row r="27" spans="1:2" x14ac:dyDescent="0.25">
      <c r="A27" s="3">
        <v>185546</v>
      </c>
      <c r="B27" s="5"/>
    </row>
    <row r="28" spans="1:2" x14ac:dyDescent="0.25">
      <c r="A28" s="4">
        <v>171552</v>
      </c>
      <c r="B28" s="5">
        <v>46111.063888888886</v>
      </c>
    </row>
    <row r="29" spans="1:2" x14ac:dyDescent="0.25">
      <c r="A29" s="4">
        <v>171550</v>
      </c>
      <c r="B29" s="5">
        <v>46111.063888888886</v>
      </c>
    </row>
    <row r="30" spans="1:2" x14ac:dyDescent="0.25">
      <c r="A30" s="2" t="s">
        <v>11</v>
      </c>
      <c r="B30" s="5"/>
    </row>
    <row r="31" spans="1:2" x14ac:dyDescent="0.25">
      <c r="A31" s="3">
        <v>0</v>
      </c>
      <c r="B31" s="5"/>
    </row>
    <row r="32" spans="1:2" x14ac:dyDescent="0.25">
      <c r="A32" s="4">
        <v>172119</v>
      </c>
      <c r="B32" s="5">
        <v>46111.024305555555</v>
      </c>
    </row>
    <row r="33" spans="1:2" x14ac:dyDescent="0.25">
      <c r="A33" s="4">
        <v>171745</v>
      </c>
      <c r="B33" s="5">
        <v>46111.084722222222</v>
      </c>
    </row>
    <row r="34" spans="1:2" x14ac:dyDescent="0.25">
      <c r="A34" s="4">
        <v>171746</v>
      </c>
      <c r="B34" s="5">
        <v>46111.222916666666</v>
      </c>
    </row>
    <row r="35" spans="1:2" x14ac:dyDescent="0.25">
      <c r="A35" s="4">
        <v>171982</v>
      </c>
      <c r="B35" s="5">
        <v>46111.361111111109</v>
      </c>
    </row>
    <row r="36" spans="1:2" x14ac:dyDescent="0.25">
      <c r="A36" s="4">
        <v>172055</v>
      </c>
      <c r="B36" s="5">
        <v>46111.447916666664</v>
      </c>
    </row>
    <row r="37" spans="1:2" x14ac:dyDescent="0.25">
      <c r="A37" s="4">
        <v>171869</v>
      </c>
      <c r="B37" s="5">
        <v>46111.588888888888</v>
      </c>
    </row>
    <row r="38" spans="1:2" x14ac:dyDescent="0.25">
      <c r="A38" s="4">
        <v>171751</v>
      </c>
      <c r="B38" s="5">
        <v>46112.777777777781</v>
      </c>
    </row>
    <row r="39" spans="1:2" x14ac:dyDescent="0.25">
      <c r="A39" s="4">
        <v>171749</v>
      </c>
      <c r="B39" s="5">
        <v>46112.9</v>
      </c>
    </row>
    <row r="40" spans="1:2" x14ac:dyDescent="0.25">
      <c r="A40" s="4">
        <v>171748</v>
      </c>
      <c r="B40" s="5">
        <v>46113.025694444441</v>
      </c>
    </row>
    <row r="41" spans="1:2" x14ac:dyDescent="0.25">
      <c r="A41" s="4">
        <v>171747</v>
      </c>
      <c r="B41" s="5">
        <v>46113.152083333334</v>
      </c>
    </row>
    <row r="42" spans="1:2" x14ac:dyDescent="0.25">
      <c r="A42" s="4">
        <v>171759</v>
      </c>
      <c r="B42" s="5">
        <v>46113.277777777781</v>
      </c>
    </row>
    <row r="43" spans="1:2" x14ac:dyDescent="0.25">
      <c r="A43" s="3">
        <v>185606</v>
      </c>
      <c r="B43" s="5"/>
    </row>
    <row r="44" spans="1:2" x14ac:dyDescent="0.25">
      <c r="A44" s="4">
        <v>171814</v>
      </c>
      <c r="B44" s="5">
        <v>46111.8</v>
      </c>
    </row>
    <row r="45" spans="1:2" x14ac:dyDescent="0.25">
      <c r="A45" s="4">
        <v>171815</v>
      </c>
      <c r="B45" s="5">
        <v>46111.8</v>
      </c>
    </row>
    <row r="46" spans="1:2" x14ac:dyDescent="0.25">
      <c r="A46" s="2" t="s">
        <v>7</v>
      </c>
      <c r="B46" s="5"/>
    </row>
    <row r="47" spans="1:2" x14ac:dyDescent="0.25">
      <c r="A47" s="3">
        <v>0</v>
      </c>
      <c r="B47" s="5"/>
    </row>
    <row r="48" spans="1:2" x14ac:dyDescent="0.25">
      <c r="A48" s="4">
        <v>171798</v>
      </c>
      <c r="B48" s="5">
        <v>46111.600694444445</v>
      </c>
    </row>
    <row r="49" spans="1:2" x14ac:dyDescent="0.25">
      <c r="A49" s="4">
        <v>171772</v>
      </c>
      <c r="B49" s="5">
        <v>46113.125</v>
      </c>
    </row>
    <row r="50" spans="1:2" x14ac:dyDescent="0.25">
      <c r="A50" s="3">
        <v>185603</v>
      </c>
      <c r="B50" s="5"/>
    </row>
    <row r="51" spans="1:2" x14ac:dyDescent="0.25">
      <c r="A51" s="4">
        <v>171781</v>
      </c>
      <c r="B51" s="5">
        <v>46111.824999999997</v>
      </c>
    </row>
    <row r="52" spans="1:2" x14ac:dyDescent="0.25">
      <c r="A52" s="4">
        <v>171779</v>
      </c>
      <c r="B52" s="5">
        <v>46111.824999999997</v>
      </c>
    </row>
    <row r="53" spans="1:2" x14ac:dyDescent="0.25">
      <c r="A53" s="3">
        <v>185604</v>
      </c>
      <c r="B53" s="5"/>
    </row>
    <row r="54" spans="1:2" x14ac:dyDescent="0.25">
      <c r="A54" s="4">
        <v>171782</v>
      </c>
      <c r="B54" s="5">
        <v>46112.045138888891</v>
      </c>
    </row>
    <row r="55" spans="1:2" x14ac:dyDescent="0.25">
      <c r="A55" s="4">
        <v>171780</v>
      </c>
      <c r="B55" s="5">
        <v>46112.045138888891</v>
      </c>
    </row>
    <row r="56" spans="1:2" x14ac:dyDescent="0.25">
      <c r="A56" s="2" t="s">
        <v>12</v>
      </c>
      <c r="B56" s="5"/>
    </row>
    <row r="57" spans="1:2" x14ac:dyDescent="0.25">
      <c r="A57" s="3">
        <v>0</v>
      </c>
      <c r="B57" s="5"/>
    </row>
    <row r="58" spans="1:2" x14ac:dyDescent="0.25">
      <c r="A58" s="4">
        <v>172014</v>
      </c>
      <c r="B58" s="5">
        <v>46111.145138888889</v>
      </c>
    </row>
    <row r="59" spans="1:2" x14ac:dyDescent="0.25">
      <c r="A59" s="4">
        <v>171986</v>
      </c>
      <c r="B59" s="5">
        <v>46111.310416666667</v>
      </c>
    </row>
    <row r="60" spans="1:2" x14ac:dyDescent="0.25">
      <c r="A60" s="4">
        <v>171996</v>
      </c>
      <c r="B60" s="5">
        <v>46111.611805555556</v>
      </c>
    </row>
    <row r="61" spans="1:2" x14ac:dyDescent="0.25">
      <c r="A61" s="2" t="s">
        <v>13</v>
      </c>
      <c r="B61" s="5"/>
    </row>
    <row r="62" spans="1:2" x14ac:dyDescent="0.25">
      <c r="A62" s="3">
        <v>0</v>
      </c>
      <c r="B62" s="5"/>
    </row>
    <row r="63" spans="1:2" x14ac:dyDescent="0.25">
      <c r="A63" s="4">
        <v>172042</v>
      </c>
      <c r="B63" s="5">
        <v>46111.209722222222</v>
      </c>
    </row>
    <row r="64" spans="1:2" x14ac:dyDescent="0.25">
      <c r="A64" s="4">
        <v>171963</v>
      </c>
      <c r="B64" s="5">
        <v>46111.348611111112</v>
      </c>
    </row>
    <row r="65" spans="1:2" x14ac:dyDescent="0.25">
      <c r="A65" s="2" t="s">
        <v>8</v>
      </c>
      <c r="B65" s="5"/>
    </row>
    <row r="66" spans="1:2" x14ac:dyDescent="0.25">
      <c r="A66" s="3">
        <v>185701</v>
      </c>
      <c r="B66" s="5"/>
    </row>
    <row r="67" spans="1:2" x14ac:dyDescent="0.25">
      <c r="A67" s="4">
        <v>172186</v>
      </c>
      <c r="B67" s="5">
        <v>46111.020138888889</v>
      </c>
    </row>
    <row r="68" spans="1:2" x14ac:dyDescent="0.25">
      <c r="A68" s="4">
        <v>172185</v>
      </c>
      <c r="B68" s="5">
        <v>46111.020138888889</v>
      </c>
    </row>
    <row r="69" spans="1:2" x14ac:dyDescent="0.25">
      <c r="A69" s="2" t="s">
        <v>9</v>
      </c>
      <c r="B69" s="5"/>
    </row>
    <row r="70" spans="1:2" x14ac:dyDescent="0.25">
      <c r="A70" s="3">
        <v>0</v>
      </c>
      <c r="B70" s="5"/>
    </row>
    <row r="71" spans="1:2" x14ac:dyDescent="0.25">
      <c r="A71" s="4">
        <v>171058</v>
      </c>
      <c r="B71" s="5">
        <v>46110.863194444442</v>
      </c>
    </row>
    <row r="72" spans="1:2" x14ac:dyDescent="0.25">
      <c r="A72" s="4">
        <v>171744</v>
      </c>
      <c r="B72" s="5">
        <v>46110.998611111114</v>
      </c>
    </row>
    <row r="73" spans="1:2" x14ac:dyDescent="0.25">
      <c r="A73" s="2" t="s">
        <v>14</v>
      </c>
      <c r="B73" s="5"/>
    </row>
    <row r="74" spans="1:2" x14ac:dyDescent="0.25">
      <c r="A74" s="3">
        <v>185682</v>
      </c>
      <c r="B74" s="5"/>
    </row>
    <row r="75" spans="1:2" x14ac:dyDescent="0.25">
      <c r="A75" s="4">
        <v>171859</v>
      </c>
      <c r="B75" s="5">
        <v>46111.051388888889</v>
      </c>
    </row>
    <row r="76" spans="1:2" x14ac:dyDescent="0.25">
      <c r="A76" s="4">
        <v>171858</v>
      </c>
      <c r="B76" s="5">
        <v>46111.051388888889</v>
      </c>
    </row>
    <row r="77" spans="1:2" x14ac:dyDescent="0.25">
      <c r="A77" s="3">
        <v>185681</v>
      </c>
      <c r="B77" s="5"/>
    </row>
    <row r="78" spans="1:2" x14ac:dyDescent="0.25">
      <c r="A78" s="4">
        <v>171861</v>
      </c>
      <c r="B78" s="5">
        <v>46111.180555555555</v>
      </c>
    </row>
    <row r="79" spans="1:2" x14ac:dyDescent="0.25">
      <c r="A79" s="4">
        <v>171862</v>
      </c>
      <c r="B79" s="5">
        <v>46111.180555555555</v>
      </c>
    </row>
    <row r="80" spans="1:2" x14ac:dyDescent="0.25">
      <c r="A80" s="3">
        <v>185644</v>
      </c>
      <c r="B80" s="5"/>
    </row>
    <row r="81" spans="1:2" x14ac:dyDescent="0.25">
      <c r="A81" s="4">
        <v>171476</v>
      </c>
      <c r="B81" s="5">
        <v>46111.313888888886</v>
      </c>
    </row>
    <row r="82" spans="1:2" x14ac:dyDescent="0.25">
      <c r="A82" s="4">
        <v>171475</v>
      </c>
      <c r="B82" s="5">
        <v>46111.313888888886</v>
      </c>
    </row>
    <row r="83" spans="1:2" x14ac:dyDescent="0.25">
      <c r="A83" s="3">
        <v>185643</v>
      </c>
      <c r="B83" s="5"/>
    </row>
    <row r="84" spans="1:2" x14ac:dyDescent="0.25">
      <c r="A84" s="4">
        <v>171477</v>
      </c>
      <c r="B84" s="5">
        <v>46111.381249999999</v>
      </c>
    </row>
    <row r="85" spans="1:2" x14ac:dyDescent="0.25">
      <c r="A85" s="4">
        <v>171478</v>
      </c>
      <c r="B85" s="5">
        <v>46111.381249999999</v>
      </c>
    </row>
    <row r="86" spans="1:2" x14ac:dyDescent="0.25">
      <c r="A86" s="3">
        <v>185645</v>
      </c>
      <c r="B86" s="5"/>
    </row>
    <row r="87" spans="1:2" x14ac:dyDescent="0.25">
      <c r="A87" s="4">
        <v>171466</v>
      </c>
      <c r="B87" s="5">
        <v>46111.448611111111</v>
      </c>
    </row>
    <row r="88" spans="1:2" x14ac:dyDescent="0.25">
      <c r="A88" s="4">
        <v>171467</v>
      </c>
      <c r="B88" s="5">
        <v>46111.448611111111</v>
      </c>
    </row>
    <row r="89" spans="1:2" x14ac:dyDescent="0.25">
      <c r="A89" s="3">
        <v>185711</v>
      </c>
      <c r="B89" s="5"/>
    </row>
    <row r="90" spans="1:2" x14ac:dyDescent="0.25">
      <c r="A90" s="4">
        <v>171844</v>
      </c>
      <c r="B90" s="5">
        <v>46111.59652777778</v>
      </c>
    </row>
    <row r="91" spans="1:2" x14ac:dyDescent="0.25">
      <c r="A91" s="4">
        <v>171843</v>
      </c>
      <c r="B91" s="5">
        <v>46111.59652777778</v>
      </c>
    </row>
    <row r="92" spans="1:2" x14ac:dyDescent="0.25">
      <c r="A92" s="3">
        <v>185710</v>
      </c>
      <c r="B92" s="5"/>
    </row>
    <row r="93" spans="1:2" x14ac:dyDescent="0.25">
      <c r="A93" s="4">
        <v>171846</v>
      </c>
      <c r="B93" s="5">
        <v>46111.693749999999</v>
      </c>
    </row>
    <row r="94" spans="1:2" x14ac:dyDescent="0.25">
      <c r="A94" s="4">
        <v>171845</v>
      </c>
      <c r="B94" s="5">
        <v>46111.693749999999</v>
      </c>
    </row>
    <row r="95" spans="1:2" x14ac:dyDescent="0.25">
      <c r="A95" s="3">
        <v>185642</v>
      </c>
      <c r="B95" s="5"/>
    </row>
    <row r="96" spans="1:2" x14ac:dyDescent="0.25">
      <c r="A96" s="4">
        <v>171480</v>
      </c>
      <c r="B96" s="5">
        <v>46111.790972222225</v>
      </c>
    </row>
    <row r="97" spans="1:2" x14ac:dyDescent="0.25">
      <c r="A97" s="4">
        <v>171479</v>
      </c>
      <c r="B97" s="5">
        <v>46111.790972222225</v>
      </c>
    </row>
    <row r="98" spans="1:2" x14ac:dyDescent="0.25">
      <c r="A98" s="3">
        <v>185641</v>
      </c>
      <c r="B98" s="5"/>
    </row>
    <row r="99" spans="1:2" x14ac:dyDescent="0.25">
      <c r="A99" s="4">
        <v>171482</v>
      </c>
      <c r="B99" s="5">
        <v>46111.85833333333</v>
      </c>
    </row>
    <row r="100" spans="1:2" x14ac:dyDescent="0.25">
      <c r="A100" s="4">
        <v>171481</v>
      </c>
      <c r="B100" s="5">
        <v>46111.85833333333</v>
      </c>
    </row>
    <row r="101" spans="1:2" x14ac:dyDescent="0.25">
      <c r="A101" s="3">
        <v>185640</v>
      </c>
      <c r="B101" s="5"/>
    </row>
    <row r="102" spans="1:2" x14ac:dyDescent="0.25">
      <c r="A102" s="4">
        <v>171483</v>
      </c>
      <c r="B102" s="5">
        <v>46111.925694444442</v>
      </c>
    </row>
    <row r="103" spans="1:2" x14ac:dyDescent="0.25">
      <c r="A103" s="4">
        <v>171484</v>
      </c>
      <c r="B103" s="5">
        <v>46111.925694444442</v>
      </c>
    </row>
    <row r="104" spans="1:2" x14ac:dyDescent="0.25">
      <c r="A104" s="2" t="s">
        <v>1</v>
      </c>
      <c r="B104" s="5">
        <v>46110.863194444442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2026-03-29T22:10:19Z</dcterms:modified>
</cp:coreProperties>
</file>