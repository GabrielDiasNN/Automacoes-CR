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Legacy\"/>
    </mc:Choice>
  </mc:AlternateContent>
  <xr:revisionPtr revIDLastSave="0" documentId="13_ncr:1_{38907A61-DAD5-4302-BC73-9A19E0D0BDFE}" xr6:coauthVersionLast="47" xr6:coauthVersionMax="47" xr10:uidLastSave="{00000000-0000-0000-0000-000000000000}"/>
  <bookViews>
    <workbookView xWindow="-120" yWindow="-120" windowWidth="29040" windowHeight="15840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9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<sst xmlns="http://schemas.openxmlformats.org/spreadsheetml/2006/main" count="20" uniqueCount="20">
  <si>
    <t>PESADA</t>
  </si>
  <si>
    <t>Total Geral</t>
  </si>
  <si>
    <t>NÃO</t>
  </si>
  <si>
    <t>MQ01</t>
  </si>
  <si>
    <t>Máq./Grupo/Nº OB</t>
  </si>
  <si>
    <t>Início do Tingimento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</si>
  <si>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</si>
  <si>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</si>
  <si>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</si>
  <si>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</si>
  <si>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</si>
  <si>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</si>
  <si>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</si>
  <si>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</si>
  <si>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</si>
  <si>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</si>
  <si>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</si>
  <si>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</si>
  <si>
    <t>gabriel.dias@costaricamalhas.ind.br</t>
  </si>
  <si>
    <t>MQ02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</si>
</sst>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  <xf numFmtId="0" fontId="1" fillId="0" borderId="1" xfId="1" applyFont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37.820518055552" missingItemsLimit="0" createdVersion="7" refreshedVersion="7" minRefreshableVersion="3" recordCount="119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6077" count="33">
        <n v="0"/>
        <n v="185955"/>
        <n v="185974"/>
        <n v="185996"/>
        <n v="185975"/>
        <n v="186022"/>
        <n v="186025"/>
        <n v="185957"/>
        <n v="185956"/>
        <n v="185978"/>
        <n v="186018"/>
        <n v="185952"/>
        <n v="186024"/>
        <n v="185873"/>
        <n v="186019"/>
        <n v="185943"/>
        <n v="185976"/>
        <n v="186023"/>
        <n v="186015"/>
        <n v="185966"/>
        <n v="186020"/>
        <n v="185940"/>
        <n v="185973"/>
        <n v="185945"/>
        <n v="186026"/>
        <n v="186021"/>
        <n v="186028"/>
        <n v="185969"/>
        <n v="185953"/>
        <n v="186016"/>
        <n v="186027"/>
        <n v="185958"/>
        <n v="186077"/>
      </sharedItems>
    </cacheField>
    <cacheField name="NUMERO_OB" numFmtId="0">
      <sharedItems containsSemiMixedTypes="0" containsString="0" containsNumber="1" containsInteger="1" minValue="172951" maxValue="175031" count="119">
        <n v="173835"/>
        <n v="173823"/>
        <n v="174243"/>
        <n v="174120"/>
        <n v="174302"/>
        <n v="173836"/>
        <n v="174125"/>
        <n v="173837"/>
        <n v="174305"/>
        <n v="174245"/>
        <n v="174173"/>
        <n v="174170"/>
        <n v="173967"/>
        <n v="174185"/>
        <n v="174292"/>
        <n v="174289"/>
        <n v="174184"/>
        <n v="174137"/>
        <n v="174175"/>
        <n v="174087"/>
        <n v="173832"/>
        <n v="174177"/>
        <n v="174176"/>
        <n v="174123"/>
        <n v="174119"/>
        <n v="174124"/>
        <n v="174118"/>
        <n v="174294"/>
        <n v="174307"/>
        <n v="174260"/>
        <n v="174277"/>
        <n v="174198"/>
        <n v="174197"/>
        <n v="174116"/>
        <n v="174122"/>
        <n v="174310"/>
        <n v="174261"/>
        <n v="174274"/>
        <n v="174178"/>
        <n v="174179"/>
        <n v="175031"/>
        <n v="174908"/>
        <n v="172951"/>
        <n v="173685"/>
        <n v="174432"/>
        <n v="174214"/>
        <n v="174345"/>
        <n v="174262"/>
        <n v="174154"/>
        <n v="174144"/>
        <n v="174162"/>
        <n v="174196"/>
        <n v="174195"/>
        <n v="174098"/>
        <n v="174093"/>
        <n v="174263"/>
        <n v="174291"/>
        <n v="174304"/>
        <n v="174279"/>
        <n v="174169"/>
        <n v="174180"/>
        <n v="174181"/>
        <n v="173260"/>
        <n v="174264"/>
        <n v="174265"/>
        <n v="174459"/>
        <n v="174477"/>
        <n v="174297"/>
        <n v="174284"/>
        <n v="174193"/>
        <n v="174192"/>
        <n v="174101"/>
        <n v="174147"/>
        <n v="174094"/>
        <n v="174138"/>
        <n v="174290"/>
        <n v="174311"/>
        <n v="174312"/>
        <n v="174097"/>
        <n v="174092"/>
        <n v="174280"/>
        <n v="174266"/>
        <n v="174172"/>
        <n v="174171"/>
        <n v="174174"/>
        <n v="173261"/>
        <n v="173253"/>
        <n v="174130"/>
        <n v="174168"/>
        <n v="174150"/>
        <n v="174267"/>
        <n v="174187"/>
        <n v="174188"/>
        <n v="174013"/>
        <n v="174014"/>
        <n v="174182"/>
        <n v="174136"/>
        <n v="173262"/>
        <n v="174457"/>
        <n v="174259"/>
        <n v="174115"/>
        <n v="174298"/>
        <n v="174285"/>
        <n v="174117"/>
        <n v="174126"/>
        <n v="174275"/>
        <n v="174276"/>
        <n v="174015"/>
        <n v="174016"/>
        <n v="174164"/>
        <n v="174157"/>
        <n v="174915"/>
        <n v="174513"/>
        <n v="174517"/>
        <n v="174497"/>
        <n v="174501"/>
        <n v="174500"/>
        <n v="173263"/>
        <n v="174461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10"/>
        <s v="MQ02"/>
        <s v="MQ04"/>
        <s v="MQ07"/>
        <s v="MQ08"/>
        <s v="MQ09"/>
        <s v="MQ05"/>
        <s v="MQ06"/>
        <s v="MQ03"/>
        <s v="MQ01"/>
        <s v="MQ11"/>
      </sharedItems>
    </cacheField>
    <cacheField name="INICIO_TING" numFmtId="0">
      <sharedItems containsSemiMixedTypes="0" containsNonDate="0" containsDate="1" containsString="0" minDate="2026-04-25T08:40:00" maxDate="2026-04-27T02:31:00"/>
    </cacheField>
    <cacheField name="FINAL_TING" numFmtId="0">
      <sharedItems containsSemiMixedTypes="0" containsNonDate="0" containsDate="1" containsString="0" minDate="2026-04-25T15:59:00" maxDate="2026-04-27T07:06:00"/>
    </cacheField>
    <cacheField name="ARTIGO" numFmtId="0">
      <sharedItems count="14">
        <s v="00024     "/>
        <s v="00184     "/>
        <s v="00032     "/>
        <s v="00015     "/>
        <s v="00010     "/>
        <s v="00149     "/>
        <s v="00189     "/>
        <s v="00030     "/>
        <s v="00042     "/>
        <s v="00142     "/>
        <s v="00456     "/>
        <s v="00484     "/>
        <s v="00022     "/>
        <s v="00056     "/>
      </sharedItems>
    </cacheField>
    <cacheField name="REDUZIDO" numFmtId="0">
      <sharedItems containsSemiMixedTypes="0" containsString="0" containsNumber="1" containsInteger="1" minValue="221" maxValue="23020"/>
    </cacheField>
    <cacheField name="DESCRICAO" numFmtId="0">
      <sharedItems/>
    </cacheField>
    <cacheField name="FASE_ATUAL" numFmtId="0">
      <sharedItems count="3">
        <s v="TIN-TINGIMENTO"/>
        <s v="RMC-REVISÃO MALHA CRUA"/>
        <s v="IVF-INVERSÃO P/FELPAGEM"/>
      </sharedItems>
    </cacheField>
    <cacheField name="STATUS_FASE" numFmtId="0">
      <sharedItems count="4">
        <s v="EM EXECUÇÃO"/>
        <s v="PESADA"/>
        <s v="PROGRAMADA"/>
        <s v="EMITIDA"/>
      </sharedItems>
    </cacheField>
    <cacheField name="USUARIO" numFmtId="0">
      <sharedItems containsBlank="1" count="4">
        <s v="RAFAEL ALEXANDRE DA ROSA"/>
        <s v="LUIZ ANDREI DE LIMA"/>
        <s v="SINVAL SILVA SOUZA"/>
        <m/>
      </sharedItems>
    </cacheField>
    <cacheField name="HORARIO_PESADO" numFmtId="0">
      <sharedItems containsNonDate="0" containsDate="1" containsString="0" containsBlank="1" minDate="2026-04-24T23:14:58" maxDate="2026-04-25T16:08:49" count="26">
        <d v="2026-04-24T23:30:15"/>
        <d v="2026-04-25T07:39:11"/>
        <d v="2026-04-25T07:50:28"/>
        <d v="2026-04-25T08:22:43"/>
        <d v="2026-04-25T11:25:59"/>
        <d v="2026-04-24T23:41:49"/>
        <d v="2026-04-25T12:00:47"/>
        <d v="2026-04-25T08:07:12"/>
        <d v="2026-04-25T06:42:04"/>
        <d v="2026-04-25T07:30:53"/>
        <d v="2026-04-25T08:38:36"/>
        <d v="2026-04-24T23:14:58"/>
        <d v="2026-04-25T12:10:40"/>
        <d v="2026-04-25T08:58:35"/>
        <d v="2026-04-25T11:39:28"/>
        <d v="2026-04-25T14:44:48"/>
        <d v="2026-04-25T11:32:13"/>
        <d v="2026-04-25T15:22:13"/>
        <d v="2026-04-25T15:10:14"/>
        <d v="2026-04-25T08:48:03"/>
        <m/>
        <d v="2026-04-25T12:25:22"/>
        <d v="2026-04-25T14:55:50"/>
        <d v="2026-04-25T16:08:49"/>
        <d v="2026-04-25T14:16:49"/>
        <d v="2026-04-25T15:39:34"/>
      </sharedItems>
    </cacheField>
    <cacheField name="DIAS_PESADO" numFmtId="0">
      <sharedItems containsString="0" containsBlank="1" containsNumber="1" minValue="0.15" maxValue="0.85" count="23">
        <n v="0.84"/>
        <n v="0.5"/>
        <n v="0.49"/>
        <n v="0.47"/>
        <n v="0.34"/>
        <n v="0.83"/>
        <n v="0.32"/>
        <n v="0.48"/>
        <n v="0.54"/>
        <n v="0.51"/>
        <n v="0.46"/>
        <n v="0.85"/>
        <n v="0.31"/>
        <n v="0.45"/>
        <n v="0.33"/>
        <n v="0.2"/>
        <n v="0.18"/>
        <n v="0.19"/>
        <m/>
        <n v="0.3"/>
        <n v="0.15"/>
        <n v="0.22"/>
        <n v="0.17"/>
      </sharedItems>
    </cacheField>
    <cacheField name="QUANT_PESADA" numFmtId="0">
      <sharedItems containsSemiMixedTypes="0" containsString="0" containsNumber="1" minValue="0" maxValue="153.035" count="26">
        <n v="27.738"/>
        <n v="0.35243000000000002"/>
        <n v="5.0734000000000004"/>
        <n v="13.295999999999999"/>
        <n v="53.298000000000002"/>
        <n v="55.143999999999998"/>
        <n v="22.652999999999999"/>
        <n v="24.188490000000002"/>
        <n v="29.073"/>
        <n v="51.801000000000002"/>
        <n v="19.629000000000001"/>
        <n v="60.161000000000001"/>
        <n v="0.42091000000000001"/>
        <n v="1.29132"/>
        <n v="54.381999999999998"/>
        <n v="21.789000000000001"/>
        <n v="152.87700000000001"/>
        <n v="22.773"/>
        <n v="36.164999999999999"/>
        <n v="28.481999999999999"/>
        <n v="0"/>
        <n v="60.597999999999999"/>
        <n v="32.488999999999997"/>
        <n v="9.7364099999999993"/>
        <n v="153.035"/>
        <n v="29.39900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">
  <r>
    <x v="0"/>
    <x v="0"/>
    <x v="0"/>
    <x v="0"/>
    <d v="2026-04-25T08:40:00"/>
    <d v="2026-04-25T15:59:00"/>
    <x v="0"/>
    <n v="1419"/>
    <s v="M/M 24/1 18 TRAMAS AMARELO OURO"/>
    <x v="0"/>
    <x v="0"/>
    <x v="0"/>
    <x v="0"/>
    <x v="0"/>
    <x v="0"/>
  </r>
  <r>
    <x v="0"/>
    <x v="1"/>
    <x v="0"/>
    <x v="1"/>
    <d v="2026-04-25T19:02:00"/>
    <d v="2026-04-25T22:02:00"/>
    <x v="0"/>
    <n v="404"/>
    <s v="M/M 24/1 18 TRAMAS SALMAO BEBÊ"/>
    <x v="0"/>
    <x v="1"/>
    <x v="1"/>
    <x v="1"/>
    <x v="1"/>
    <x v="1"/>
  </r>
  <r>
    <x v="0"/>
    <x v="2"/>
    <x v="0"/>
    <x v="2"/>
    <d v="2026-04-25T19:02:00"/>
    <d v="2026-04-25T21:26:00"/>
    <x v="1"/>
    <n v="2964"/>
    <s v="POLIÉSTER FIADO ROSA BEBÊ"/>
    <x v="0"/>
    <x v="1"/>
    <x v="1"/>
    <x v="2"/>
    <x v="2"/>
    <x v="2"/>
  </r>
  <r>
    <x v="1"/>
    <x v="3"/>
    <x v="0"/>
    <x v="3"/>
    <d v="2026-04-25T19:02:00"/>
    <d v="2026-04-26T01:03:00"/>
    <x v="2"/>
    <n v="1472"/>
    <s v="M/M 30/1 PENTEADO VINHO"/>
    <x v="0"/>
    <x v="1"/>
    <x v="1"/>
    <x v="3"/>
    <x v="3"/>
    <x v="3"/>
  </r>
  <r>
    <x v="2"/>
    <x v="4"/>
    <x v="0"/>
    <x v="4"/>
    <d v="2026-04-25T19:02:00"/>
    <d v="2026-04-25T22:59:00"/>
    <x v="3"/>
    <n v="22649"/>
    <s v="RIBANA 2X1 24/1 OE PRETO"/>
    <x v="0"/>
    <x v="1"/>
    <x v="1"/>
    <x v="4"/>
    <x v="4"/>
    <x v="4"/>
  </r>
  <r>
    <x v="3"/>
    <x v="5"/>
    <x v="0"/>
    <x v="5"/>
    <d v="2026-04-25T19:02:00"/>
    <d v="2026-04-26T01:49:00"/>
    <x v="0"/>
    <n v="1419"/>
    <s v="M/M 24/1 18 TRAMAS AMARELO OURO"/>
    <x v="0"/>
    <x v="1"/>
    <x v="0"/>
    <x v="5"/>
    <x v="5"/>
    <x v="5"/>
  </r>
  <r>
    <x v="1"/>
    <x v="6"/>
    <x v="0"/>
    <x v="3"/>
    <d v="2026-04-25T19:02:00"/>
    <d v="2026-04-26T01:03:00"/>
    <x v="4"/>
    <n v="10402"/>
    <s v="RIBANA 30/1 OE VINHO"/>
    <x v="0"/>
    <x v="1"/>
    <x v="1"/>
    <x v="3"/>
    <x v="3"/>
    <x v="3"/>
  </r>
  <r>
    <x v="3"/>
    <x v="7"/>
    <x v="0"/>
    <x v="5"/>
    <d v="2026-04-25T19:02:00"/>
    <d v="2026-04-26T01:49:00"/>
    <x v="0"/>
    <n v="1419"/>
    <s v="M/M 24/1 18 TRAMAS AMARELO OURO"/>
    <x v="0"/>
    <x v="1"/>
    <x v="0"/>
    <x v="5"/>
    <x v="5"/>
    <x v="5"/>
  </r>
  <r>
    <x v="4"/>
    <x v="8"/>
    <x v="0"/>
    <x v="6"/>
    <d v="2026-04-25T19:02:00"/>
    <d v="2026-04-26T01:03:00"/>
    <x v="3"/>
    <n v="23020"/>
    <s v="RIBANA 2X1 24/1 OE VERDE MILITAR"/>
    <x v="0"/>
    <x v="1"/>
    <x v="1"/>
    <x v="6"/>
    <x v="6"/>
    <x v="6"/>
  </r>
  <r>
    <x v="0"/>
    <x v="9"/>
    <x v="0"/>
    <x v="7"/>
    <d v="2026-04-25T19:02:00"/>
    <d v="2026-04-25T22:42:00"/>
    <x v="1"/>
    <n v="3373"/>
    <s v="POLIESTER FIADO MARINHO"/>
    <x v="0"/>
    <x v="1"/>
    <x v="1"/>
    <x v="7"/>
    <x v="7"/>
    <x v="7"/>
  </r>
  <r>
    <x v="0"/>
    <x v="10"/>
    <x v="0"/>
    <x v="8"/>
    <d v="2026-04-25T19:02:00"/>
    <d v="2026-04-26T01:03:00"/>
    <x v="2"/>
    <n v="1492"/>
    <s v="M/M 30/1 PENTEADO MARROM"/>
    <x v="0"/>
    <x v="1"/>
    <x v="1"/>
    <x v="8"/>
    <x v="8"/>
    <x v="8"/>
  </r>
  <r>
    <x v="0"/>
    <x v="11"/>
    <x v="0"/>
    <x v="9"/>
    <d v="2026-04-25T19:02:00"/>
    <d v="2026-04-26T01:39:00"/>
    <x v="5"/>
    <n v="2509"/>
    <s v="HELANCA SUEDINE 100%CO VERMELHO"/>
    <x v="0"/>
    <x v="1"/>
    <x v="1"/>
    <x v="9"/>
    <x v="9"/>
    <x v="9"/>
  </r>
  <r>
    <x v="0"/>
    <x v="12"/>
    <x v="0"/>
    <x v="0"/>
    <d v="2026-04-25T19:02:00"/>
    <d v="2026-04-25T23:13:00"/>
    <x v="1"/>
    <n v="3372"/>
    <s v="POLIESTER FIADO LARANJA"/>
    <x v="0"/>
    <x v="1"/>
    <x v="1"/>
    <x v="10"/>
    <x v="10"/>
    <x v="10"/>
  </r>
  <r>
    <x v="5"/>
    <x v="13"/>
    <x v="0"/>
    <x v="10"/>
    <d v="2026-04-25T19:02:00"/>
    <d v="2026-04-26T00:28:00"/>
    <x v="6"/>
    <n v="12247"/>
    <s v="VISCOLYCRA VORTEX MARINHO"/>
    <x v="0"/>
    <x v="1"/>
    <x v="0"/>
    <x v="11"/>
    <x v="11"/>
    <x v="11"/>
  </r>
  <r>
    <x v="4"/>
    <x v="14"/>
    <x v="0"/>
    <x v="6"/>
    <d v="2026-04-25T19:02:00"/>
    <d v="2026-04-26T01:03:00"/>
    <x v="2"/>
    <n v="1392"/>
    <s v="M/M 30/1 PENTEADO VERDE MILITAR"/>
    <x v="0"/>
    <x v="1"/>
    <x v="1"/>
    <x v="6"/>
    <x v="6"/>
    <x v="6"/>
  </r>
  <r>
    <x v="2"/>
    <x v="15"/>
    <x v="0"/>
    <x v="4"/>
    <d v="2026-04-25T19:02:00"/>
    <d v="2026-04-25T22:59:00"/>
    <x v="2"/>
    <n v="1332"/>
    <s v="M/M 30/1 PENTEADO PRETO"/>
    <x v="0"/>
    <x v="1"/>
    <x v="1"/>
    <x v="4"/>
    <x v="4"/>
    <x v="4"/>
  </r>
  <r>
    <x v="5"/>
    <x v="16"/>
    <x v="0"/>
    <x v="10"/>
    <d v="2026-04-25T19:02:00"/>
    <d v="2026-04-26T00:28:00"/>
    <x v="6"/>
    <n v="12247"/>
    <s v="VISCOLYCRA VORTEX MARINHO"/>
    <x v="0"/>
    <x v="1"/>
    <x v="0"/>
    <x v="11"/>
    <x v="11"/>
    <x v="11"/>
  </r>
  <r>
    <x v="0"/>
    <x v="17"/>
    <x v="0"/>
    <x v="2"/>
    <d v="2026-04-25T21:27:00"/>
    <d v="2026-04-26T00:28:00"/>
    <x v="0"/>
    <n v="1251"/>
    <s v="M/M 24/1 18 TRAMAS CINZA CLARO"/>
    <x v="0"/>
    <x v="1"/>
    <x v="1"/>
    <x v="12"/>
    <x v="12"/>
    <x v="12"/>
  </r>
  <r>
    <x v="0"/>
    <x v="18"/>
    <x v="0"/>
    <x v="1"/>
    <d v="2026-04-25T22:03:00"/>
    <d v="2026-04-26T03:13:00"/>
    <x v="6"/>
    <n v="15516"/>
    <s v="VISCOLYCRA VORTEX CAQUI"/>
    <x v="0"/>
    <x v="1"/>
    <x v="1"/>
    <x v="13"/>
    <x v="13"/>
    <x v="13"/>
  </r>
  <r>
    <x v="0"/>
    <x v="19"/>
    <x v="0"/>
    <x v="4"/>
    <d v="2026-04-25T23:00:00"/>
    <d v="2026-04-26T02:57:00"/>
    <x v="7"/>
    <n v="1807"/>
    <s v="M/M 30/1 CARDADA OE PRETO"/>
    <x v="0"/>
    <x v="1"/>
    <x v="1"/>
    <x v="14"/>
    <x v="14"/>
    <x v="14"/>
  </r>
  <r>
    <x v="0"/>
    <x v="20"/>
    <x v="0"/>
    <x v="0"/>
    <d v="2026-04-25T23:14:00"/>
    <d v="2026-04-26T05:26:00"/>
    <x v="0"/>
    <n v="1409"/>
    <s v="M/M 24/1 18 TRAMAS AMARELO CANÁRIO"/>
    <x v="0"/>
    <x v="1"/>
    <x v="2"/>
    <x v="15"/>
    <x v="15"/>
    <x v="15"/>
  </r>
  <r>
    <x v="6"/>
    <x v="21"/>
    <x v="0"/>
    <x v="10"/>
    <d v="2026-04-26T00:29:00"/>
    <d v="2026-04-26T05:14:00"/>
    <x v="6"/>
    <n v="11944"/>
    <s v="VISCOLYCRA VORTEX PRETO"/>
    <x v="0"/>
    <x v="1"/>
    <x v="1"/>
    <x v="16"/>
    <x v="4"/>
    <x v="16"/>
  </r>
  <r>
    <x v="6"/>
    <x v="22"/>
    <x v="0"/>
    <x v="10"/>
    <d v="2026-04-26T00:29:00"/>
    <d v="2026-04-26T05:14:00"/>
    <x v="6"/>
    <n v="11944"/>
    <s v="VISCOLYCRA VORTEX PRETO"/>
    <x v="0"/>
    <x v="1"/>
    <x v="1"/>
    <x v="16"/>
    <x v="4"/>
    <x v="16"/>
  </r>
  <r>
    <x v="7"/>
    <x v="23"/>
    <x v="0"/>
    <x v="6"/>
    <d v="2026-04-26T01:04:00"/>
    <d v="2026-04-26T07:05:00"/>
    <x v="4"/>
    <n v="10029"/>
    <s v="RIBANA 30/1 OE VERDE MILITAR"/>
    <x v="1"/>
    <x v="2"/>
    <x v="2"/>
    <x v="17"/>
    <x v="16"/>
    <x v="17"/>
  </r>
  <r>
    <x v="8"/>
    <x v="24"/>
    <x v="0"/>
    <x v="3"/>
    <d v="2026-04-26T01:04:00"/>
    <d v="2026-04-26T07:41:00"/>
    <x v="2"/>
    <n v="1432"/>
    <s v="M/M 30/1 PENTEADO VERMELHO"/>
    <x v="0"/>
    <x v="1"/>
    <x v="2"/>
    <x v="18"/>
    <x v="17"/>
    <x v="18"/>
  </r>
  <r>
    <x v="8"/>
    <x v="25"/>
    <x v="0"/>
    <x v="3"/>
    <d v="2026-04-26T01:04:00"/>
    <d v="2026-04-26T07:41:00"/>
    <x v="4"/>
    <n v="11394"/>
    <s v="RIBANA 30/1 OE VERMELHO"/>
    <x v="0"/>
    <x v="1"/>
    <x v="2"/>
    <x v="18"/>
    <x v="17"/>
    <x v="18"/>
  </r>
  <r>
    <x v="7"/>
    <x v="26"/>
    <x v="0"/>
    <x v="6"/>
    <d v="2026-04-26T01:04:00"/>
    <d v="2026-04-26T07:05:00"/>
    <x v="2"/>
    <n v="1392"/>
    <s v="M/M 30/1 PENTEADO VERDE MILITAR"/>
    <x v="1"/>
    <x v="2"/>
    <x v="2"/>
    <x v="17"/>
    <x v="16"/>
    <x v="17"/>
  </r>
  <r>
    <x v="9"/>
    <x v="27"/>
    <x v="0"/>
    <x v="8"/>
    <d v="2026-04-26T01:04:00"/>
    <d v="2026-04-26T07:05:00"/>
    <x v="2"/>
    <n v="1492"/>
    <s v="M/M 30/1 PENTEADO MARROM"/>
    <x v="0"/>
    <x v="1"/>
    <x v="1"/>
    <x v="19"/>
    <x v="13"/>
    <x v="19"/>
  </r>
  <r>
    <x v="9"/>
    <x v="28"/>
    <x v="0"/>
    <x v="8"/>
    <d v="2026-04-26T01:04:00"/>
    <d v="2026-04-26T07:05:00"/>
    <x v="3"/>
    <n v="22789"/>
    <s v="RIBANA 2X1 24/1 OE MARROM"/>
    <x v="0"/>
    <x v="1"/>
    <x v="1"/>
    <x v="19"/>
    <x v="13"/>
    <x v="19"/>
  </r>
  <r>
    <x v="0"/>
    <x v="29"/>
    <x v="1"/>
    <x v="7"/>
    <d v="2026-04-26T01:39:00"/>
    <d v="2026-04-26T03:48:00"/>
    <x v="0"/>
    <n v="254"/>
    <s v="M/M 24/1 18 TRAMAS MARFIM"/>
    <x v="0"/>
    <x v="3"/>
    <x v="3"/>
    <x v="20"/>
    <x v="18"/>
    <x v="20"/>
  </r>
  <r>
    <x v="0"/>
    <x v="30"/>
    <x v="0"/>
    <x v="9"/>
    <d v="2026-04-26T01:40:00"/>
    <d v="2026-04-26T08:17:00"/>
    <x v="0"/>
    <n v="1429"/>
    <s v="M/M 24/1 18 TRAMAS VERMELHO"/>
    <x v="0"/>
    <x v="3"/>
    <x v="1"/>
    <x v="21"/>
    <x v="19"/>
    <x v="21"/>
  </r>
  <r>
    <x v="10"/>
    <x v="31"/>
    <x v="0"/>
    <x v="5"/>
    <d v="2026-04-26T01:50:00"/>
    <d v="2026-04-26T07:16:00"/>
    <x v="6"/>
    <n v="12289"/>
    <s v="VISCOLYCRA VORTEX PINK"/>
    <x v="0"/>
    <x v="1"/>
    <x v="2"/>
    <x v="22"/>
    <x v="15"/>
    <x v="22"/>
  </r>
  <r>
    <x v="10"/>
    <x v="32"/>
    <x v="0"/>
    <x v="5"/>
    <d v="2026-04-26T01:50:00"/>
    <d v="2026-04-26T07:16:00"/>
    <x v="6"/>
    <n v="12289"/>
    <s v="VISCOLYCRA VORTEX PINK"/>
    <x v="0"/>
    <x v="1"/>
    <x v="2"/>
    <x v="22"/>
    <x v="15"/>
    <x v="22"/>
  </r>
  <r>
    <x v="11"/>
    <x v="33"/>
    <x v="1"/>
    <x v="4"/>
    <d v="2026-04-26T02:58:00"/>
    <d v="2026-04-26T06:55:00"/>
    <x v="2"/>
    <n v="1332"/>
    <s v="M/M 30/1 PENTEADO PRETO"/>
    <x v="0"/>
    <x v="3"/>
    <x v="3"/>
    <x v="20"/>
    <x v="18"/>
    <x v="20"/>
  </r>
  <r>
    <x v="11"/>
    <x v="34"/>
    <x v="1"/>
    <x v="4"/>
    <d v="2026-04-26T02:58:00"/>
    <d v="2026-04-26T06:55:00"/>
    <x v="4"/>
    <n v="9785"/>
    <s v="RIBANA 30/1 OE PRETO"/>
    <x v="0"/>
    <x v="3"/>
    <x v="3"/>
    <x v="20"/>
    <x v="18"/>
    <x v="20"/>
  </r>
  <r>
    <x v="0"/>
    <x v="35"/>
    <x v="0"/>
    <x v="1"/>
    <d v="2026-04-26T03:14:00"/>
    <d v="2026-04-26T08:33:00"/>
    <x v="8"/>
    <n v="4317"/>
    <s v="M/M 30/1 PV AZUL CELESTE"/>
    <x v="0"/>
    <x v="1"/>
    <x v="2"/>
    <x v="23"/>
    <x v="20"/>
    <x v="23"/>
  </r>
  <r>
    <x v="0"/>
    <x v="36"/>
    <x v="1"/>
    <x v="7"/>
    <d v="2026-04-26T03:49:00"/>
    <d v="2026-04-26T05:58:00"/>
    <x v="0"/>
    <n v="254"/>
    <s v="M/M 24/1 18 TRAMAS MARFIM"/>
    <x v="0"/>
    <x v="3"/>
    <x v="3"/>
    <x v="20"/>
    <x v="18"/>
    <x v="20"/>
  </r>
  <r>
    <x v="0"/>
    <x v="37"/>
    <x v="1"/>
    <x v="2"/>
    <d v="2026-04-26T04:13:00"/>
    <d v="2026-04-26T08:09:00"/>
    <x v="0"/>
    <n v="22676"/>
    <s v="M/M 24/1 18 TRAMAS PISTACHE"/>
    <x v="1"/>
    <x v="2"/>
    <x v="3"/>
    <x v="20"/>
    <x v="18"/>
    <x v="20"/>
  </r>
  <r>
    <x v="12"/>
    <x v="38"/>
    <x v="0"/>
    <x v="10"/>
    <d v="2026-04-26T05:15:00"/>
    <d v="2026-04-26T10:00:00"/>
    <x v="6"/>
    <n v="11944"/>
    <s v="VISCOLYCRA VORTEX PRETO"/>
    <x v="1"/>
    <x v="2"/>
    <x v="2"/>
    <x v="24"/>
    <x v="21"/>
    <x v="24"/>
  </r>
  <r>
    <x v="12"/>
    <x v="39"/>
    <x v="0"/>
    <x v="10"/>
    <d v="2026-04-26T05:15:00"/>
    <d v="2026-04-26T10:00:00"/>
    <x v="6"/>
    <n v="11944"/>
    <s v="VISCOLYCRA VORTEX PRETO"/>
    <x v="1"/>
    <x v="2"/>
    <x v="2"/>
    <x v="24"/>
    <x v="21"/>
    <x v="24"/>
  </r>
  <r>
    <x v="13"/>
    <x v="40"/>
    <x v="1"/>
    <x v="0"/>
    <d v="2026-04-26T05:27:00"/>
    <d v="2026-04-26T09:16:00"/>
    <x v="9"/>
    <n v="950"/>
    <s v="HELANQUINHA DRY FIT PRETO"/>
    <x v="1"/>
    <x v="2"/>
    <x v="3"/>
    <x v="20"/>
    <x v="18"/>
    <x v="20"/>
  </r>
  <r>
    <x v="13"/>
    <x v="41"/>
    <x v="1"/>
    <x v="0"/>
    <d v="2026-04-26T05:27:00"/>
    <d v="2026-04-26T09:16:00"/>
    <x v="9"/>
    <n v="950"/>
    <s v="HELANQUINHA DRY FIT PRETO"/>
    <x v="1"/>
    <x v="2"/>
    <x v="3"/>
    <x v="20"/>
    <x v="18"/>
    <x v="20"/>
  </r>
  <r>
    <x v="13"/>
    <x v="42"/>
    <x v="1"/>
    <x v="0"/>
    <d v="2026-04-26T05:27:00"/>
    <d v="2026-04-26T09:16:00"/>
    <x v="9"/>
    <n v="950"/>
    <s v="HELANQUINHA DRY FIT PRETO"/>
    <x v="1"/>
    <x v="2"/>
    <x v="3"/>
    <x v="20"/>
    <x v="18"/>
    <x v="20"/>
  </r>
  <r>
    <x v="13"/>
    <x v="43"/>
    <x v="1"/>
    <x v="0"/>
    <d v="2026-04-26T05:27:00"/>
    <d v="2026-04-26T09:16:00"/>
    <x v="9"/>
    <n v="950"/>
    <s v="HELANQUINHA DRY FIT PRETO"/>
    <x v="1"/>
    <x v="2"/>
    <x v="3"/>
    <x v="20"/>
    <x v="18"/>
    <x v="20"/>
  </r>
  <r>
    <x v="13"/>
    <x v="44"/>
    <x v="1"/>
    <x v="0"/>
    <d v="2026-04-26T05:27:00"/>
    <d v="2026-04-26T09:16:00"/>
    <x v="9"/>
    <n v="950"/>
    <s v="HELANQUINHA DRY FIT PRETO"/>
    <x v="1"/>
    <x v="2"/>
    <x v="3"/>
    <x v="20"/>
    <x v="18"/>
    <x v="20"/>
  </r>
  <r>
    <x v="13"/>
    <x v="45"/>
    <x v="1"/>
    <x v="0"/>
    <d v="2026-04-26T05:27:00"/>
    <d v="2026-04-26T09:16:00"/>
    <x v="9"/>
    <n v="950"/>
    <s v="HELANQUINHA DRY FIT PRETO"/>
    <x v="1"/>
    <x v="2"/>
    <x v="3"/>
    <x v="20"/>
    <x v="18"/>
    <x v="20"/>
  </r>
  <r>
    <x v="13"/>
    <x v="46"/>
    <x v="1"/>
    <x v="0"/>
    <d v="2026-04-26T05:27:00"/>
    <d v="2026-04-26T09:16:00"/>
    <x v="9"/>
    <n v="950"/>
    <s v="HELANQUINHA DRY FIT PRETO"/>
    <x v="1"/>
    <x v="2"/>
    <x v="3"/>
    <x v="20"/>
    <x v="18"/>
    <x v="20"/>
  </r>
  <r>
    <x v="0"/>
    <x v="47"/>
    <x v="1"/>
    <x v="7"/>
    <d v="2026-04-26T05:59:00"/>
    <d v="2026-04-26T08:08:00"/>
    <x v="0"/>
    <n v="254"/>
    <s v="M/M 24/1 18 TRAMAS MARFIM"/>
    <x v="0"/>
    <x v="3"/>
    <x v="3"/>
    <x v="20"/>
    <x v="18"/>
    <x v="20"/>
  </r>
  <r>
    <x v="0"/>
    <x v="48"/>
    <x v="1"/>
    <x v="4"/>
    <d v="2026-04-26T06:56:00"/>
    <d v="2026-04-26T10:36:00"/>
    <x v="1"/>
    <n v="2599"/>
    <s v="POLIÉSTER FIADO PRETO"/>
    <x v="0"/>
    <x v="3"/>
    <x v="3"/>
    <x v="20"/>
    <x v="18"/>
    <x v="20"/>
  </r>
  <r>
    <x v="0"/>
    <x v="49"/>
    <x v="0"/>
    <x v="8"/>
    <d v="2026-04-26T07:06:00"/>
    <d v="2026-04-26T13:07:00"/>
    <x v="2"/>
    <n v="1492"/>
    <s v="M/M 30/1 PENTEADO MARROM"/>
    <x v="1"/>
    <x v="2"/>
    <x v="2"/>
    <x v="25"/>
    <x v="22"/>
    <x v="25"/>
  </r>
  <r>
    <x v="0"/>
    <x v="50"/>
    <x v="1"/>
    <x v="6"/>
    <d v="2026-04-26T07:06:00"/>
    <d v="2026-04-26T13:07:00"/>
    <x v="2"/>
    <n v="1392"/>
    <s v="M/M 30/1 PENTEADO VERDE MILITAR"/>
    <x v="1"/>
    <x v="2"/>
    <x v="3"/>
    <x v="20"/>
    <x v="18"/>
    <x v="20"/>
  </r>
  <r>
    <x v="14"/>
    <x v="51"/>
    <x v="1"/>
    <x v="5"/>
    <d v="2026-04-26T07:17:00"/>
    <d v="2026-04-26T12:43:00"/>
    <x v="6"/>
    <n v="17151"/>
    <s v="VISCOLYCRA VORTEX MARROM"/>
    <x v="1"/>
    <x v="2"/>
    <x v="3"/>
    <x v="20"/>
    <x v="18"/>
    <x v="20"/>
  </r>
  <r>
    <x v="14"/>
    <x v="52"/>
    <x v="1"/>
    <x v="5"/>
    <d v="2026-04-26T07:17:00"/>
    <d v="2026-04-26T12:43:00"/>
    <x v="6"/>
    <n v="17151"/>
    <s v="VISCOLYCRA VORTEX MARROM"/>
    <x v="1"/>
    <x v="2"/>
    <x v="3"/>
    <x v="20"/>
    <x v="18"/>
    <x v="20"/>
  </r>
  <r>
    <x v="15"/>
    <x v="53"/>
    <x v="1"/>
    <x v="3"/>
    <d v="2026-04-26T07:42:00"/>
    <d v="2026-04-26T13:43:00"/>
    <x v="4"/>
    <n v="14569"/>
    <s v="RIBANA 30/1 OE MARROM"/>
    <x v="1"/>
    <x v="2"/>
    <x v="3"/>
    <x v="20"/>
    <x v="18"/>
    <x v="20"/>
  </r>
  <r>
    <x v="15"/>
    <x v="54"/>
    <x v="1"/>
    <x v="3"/>
    <d v="2026-04-26T07:42:00"/>
    <d v="2026-04-26T13:43:00"/>
    <x v="7"/>
    <n v="3303"/>
    <s v="M/M 30/1 CARDADA OE MARROM"/>
    <x v="1"/>
    <x v="2"/>
    <x v="3"/>
    <x v="20"/>
    <x v="18"/>
    <x v="20"/>
  </r>
  <r>
    <x v="0"/>
    <x v="55"/>
    <x v="1"/>
    <x v="7"/>
    <d v="2026-04-26T08:09:00"/>
    <d v="2026-04-26T11:09:00"/>
    <x v="0"/>
    <n v="354"/>
    <s v="M/M 24/1 18 TRAMAS AMARELO BEBÊ"/>
    <x v="1"/>
    <x v="2"/>
    <x v="3"/>
    <x v="20"/>
    <x v="18"/>
    <x v="20"/>
  </r>
  <r>
    <x v="16"/>
    <x v="56"/>
    <x v="1"/>
    <x v="2"/>
    <d v="2026-04-26T08:10:00"/>
    <d v="2026-04-26T12:06:00"/>
    <x v="2"/>
    <n v="22678"/>
    <s v="M/M 30/1 PENTEADO PISTACHE"/>
    <x v="1"/>
    <x v="2"/>
    <x v="3"/>
    <x v="20"/>
    <x v="18"/>
    <x v="20"/>
  </r>
  <r>
    <x v="16"/>
    <x v="57"/>
    <x v="1"/>
    <x v="2"/>
    <d v="2026-04-26T08:10:00"/>
    <d v="2026-04-26T12:06:00"/>
    <x v="3"/>
    <n v="22787"/>
    <s v="RIBANA 2X1 24/1 OE PISTACHE"/>
    <x v="1"/>
    <x v="2"/>
    <x v="3"/>
    <x v="20"/>
    <x v="18"/>
    <x v="20"/>
  </r>
  <r>
    <x v="0"/>
    <x v="58"/>
    <x v="1"/>
    <x v="9"/>
    <d v="2026-04-26T08:18:00"/>
    <d v="2026-04-26T14:08:00"/>
    <x v="0"/>
    <n v="1499"/>
    <s v="M/M 24/1 18 TRAMAS PINK"/>
    <x v="1"/>
    <x v="0"/>
    <x v="3"/>
    <x v="20"/>
    <x v="18"/>
    <x v="20"/>
  </r>
  <r>
    <x v="0"/>
    <x v="59"/>
    <x v="1"/>
    <x v="1"/>
    <d v="2026-04-26T08:34:00"/>
    <d v="2026-04-26T11:35:00"/>
    <x v="5"/>
    <n v="5226"/>
    <s v="HELANCA SUEDINE 100%CO LILÁS CLARO"/>
    <x v="1"/>
    <x v="2"/>
    <x v="3"/>
    <x v="20"/>
    <x v="18"/>
    <x v="20"/>
  </r>
  <r>
    <x v="17"/>
    <x v="60"/>
    <x v="1"/>
    <x v="10"/>
    <d v="2026-04-26T10:01:00"/>
    <d v="2026-04-26T14:46:00"/>
    <x v="6"/>
    <n v="11944"/>
    <s v="VISCOLYCRA VORTEX PRETO"/>
    <x v="1"/>
    <x v="2"/>
    <x v="3"/>
    <x v="20"/>
    <x v="18"/>
    <x v="20"/>
  </r>
  <r>
    <x v="17"/>
    <x v="61"/>
    <x v="1"/>
    <x v="10"/>
    <d v="2026-04-26T10:01:00"/>
    <d v="2026-04-26T14:46:00"/>
    <x v="6"/>
    <n v="11944"/>
    <s v="VISCOLYCRA VORTEX PRETO"/>
    <x v="1"/>
    <x v="2"/>
    <x v="3"/>
    <x v="20"/>
    <x v="18"/>
    <x v="20"/>
  </r>
  <r>
    <x v="0"/>
    <x v="62"/>
    <x v="1"/>
    <x v="4"/>
    <d v="2026-04-26T10:37:00"/>
    <d v="2026-04-26T15:12:00"/>
    <x v="6"/>
    <n v="11944"/>
    <s v="VISCOLYCRA VORTEX PRETO"/>
    <x v="1"/>
    <x v="2"/>
    <x v="3"/>
    <x v="20"/>
    <x v="18"/>
    <x v="20"/>
  </r>
  <r>
    <x v="0"/>
    <x v="63"/>
    <x v="1"/>
    <x v="7"/>
    <d v="2026-04-26T11:10:00"/>
    <d v="2026-04-26T14:10:00"/>
    <x v="0"/>
    <n v="354"/>
    <s v="M/M 24/1 18 TRAMAS AMARELO BEBÊ"/>
    <x v="1"/>
    <x v="2"/>
    <x v="3"/>
    <x v="20"/>
    <x v="18"/>
    <x v="20"/>
  </r>
  <r>
    <x v="0"/>
    <x v="64"/>
    <x v="1"/>
    <x v="1"/>
    <d v="2026-04-26T11:36:00"/>
    <d v="2026-04-26T14:31:00"/>
    <x v="0"/>
    <n v="459"/>
    <s v="M/M 24/1 18 TRAMAS AZUL BEBÊ"/>
    <x v="1"/>
    <x v="0"/>
    <x v="3"/>
    <x v="20"/>
    <x v="18"/>
    <x v="20"/>
  </r>
  <r>
    <x v="18"/>
    <x v="65"/>
    <x v="1"/>
    <x v="2"/>
    <d v="2026-04-26T12:07:00"/>
    <d v="2026-04-26T13:30:00"/>
    <x v="10"/>
    <n v="14539"/>
    <s v="MOLETOM MESCLA PA TUBULAR"/>
    <x v="2"/>
    <x v="2"/>
    <x v="3"/>
    <x v="20"/>
    <x v="18"/>
    <x v="20"/>
  </r>
  <r>
    <x v="18"/>
    <x v="66"/>
    <x v="1"/>
    <x v="2"/>
    <d v="2026-04-26T12:07:00"/>
    <d v="2026-04-26T13:30:00"/>
    <x v="11"/>
    <n v="20335"/>
    <s v="POLIÉSTER FIADO MESCLA"/>
    <x v="0"/>
    <x v="3"/>
    <x v="3"/>
    <x v="20"/>
    <x v="18"/>
    <x v="20"/>
  </r>
  <r>
    <x v="19"/>
    <x v="67"/>
    <x v="1"/>
    <x v="0"/>
    <d v="2026-04-26T12:29:00"/>
    <d v="2026-04-26T14:52:00"/>
    <x v="3"/>
    <n v="22637"/>
    <s v="RIBANA 2X1 24/1 OE MARFIM"/>
    <x v="1"/>
    <x v="2"/>
    <x v="3"/>
    <x v="20"/>
    <x v="18"/>
    <x v="20"/>
  </r>
  <r>
    <x v="19"/>
    <x v="68"/>
    <x v="1"/>
    <x v="0"/>
    <d v="2026-04-26T12:29:00"/>
    <d v="2026-04-26T14:52:00"/>
    <x v="2"/>
    <n v="258"/>
    <s v="M/M 30/1 PENTEADO MARFIM"/>
    <x v="1"/>
    <x v="2"/>
    <x v="3"/>
    <x v="20"/>
    <x v="18"/>
    <x v="20"/>
  </r>
  <r>
    <x v="20"/>
    <x v="69"/>
    <x v="1"/>
    <x v="5"/>
    <d v="2026-04-26T12:44:00"/>
    <d v="2026-04-26T18:10:00"/>
    <x v="6"/>
    <n v="12250"/>
    <s v="VISCOLYCRA VORTEX VINHO"/>
    <x v="1"/>
    <x v="2"/>
    <x v="3"/>
    <x v="20"/>
    <x v="18"/>
    <x v="20"/>
  </r>
  <r>
    <x v="20"/>
    <x v="70"/>
    <x v="1"/>
    <x v="5"/>
    <d v="2026-04-26T12:44:00"/>
    <d v="2026-04-26T18:10:00"/>
    <x v="6"/>
    <n v="12250"/>
    <s v="VISCOLYCRA VORTEX VINHO"/>
    <x v="1"/>
    <x v="2"/>
    <x v="3"/>
    <x v="20"/>
    <x v="18"/>
    <x v="20"/>
  </r>
  <r>
    <x v="21"/>
    <x v="71"/>
    <x v="1"/>
    <x v="8"/>
    <d v="2026-04-26T13:08:00"/>
    <d v="2026-04-26T19:09:00"/>
    <x v="3"/>
    <n v="22789"/>
    <s v="RIBANA 2X1 24/1 OE MARROM"/>
    <x v="1"/>
    <x v="2"/>
    <x v="3"/>
    <x v="20"/>
    <x v="18"/>
    <x v="20"/>
  </r>
  <r>
    <x v="0"/>
    <x v="72"/>
    <x v="1"/>
    <x v="6"/>
    <d v="2026-04-26T13:08:00"/>
    <d v="2026-04-26T21:57:00"/>
    <x v="8"/>
    <n v="1444"/>
    <s v="M/M 30/1 PV ROYAL"/>
    <x v="1"/>
    <x v="2"/>
    <x v="3"/>
    <x v="20"/>
    <x v="18"/>
    <x v="20"/>
  </r>
  <r>
    <x v="21"/>
    <x v="73"/>
    <x v="1"/>
    <x v="8"/>
    <d v="2026-04-26T13:08:00"/>
    <d v="2026-04-26T19:09:00"/>
    <x v="7"/>
    <n v="3303"/>
    <s v="M/M 30/1 CARDADA OE MARROM"/>
    <x v="1"/>
    <x v="2"/>
    <x v="3"/>
    <x v="20"/>
    <x v="18"/>
    <x v="20"/>
  </r>
  <r>
    <x v="0"/>
    <x v="74"/>
    <x v="1"/>
    <x v="2"/>
    <d v="2026-04-26T13:31:00"/>
    <d v="2026-04-26T16:31:00"/>
    <x v="0"/>
    <n v="2381"/>
    <s v="M/M 24/1 18 TRAMAS ROSA BEBÊ"/>
    <x v="1"/>
    <x v="2"/>
    <x v="3"/>
    <x v="20"/>
    <x v="18"/>
    <x v="20"/>
  </r>
  <r>
    <x v="22"/>
    <x v="75"/>
    <x v="1"/>
    <x v="3"/>
    <d v="2026-04-26T13:44:00"/>
    <d v="2026-04-26T19:45:00"/>
    <x v="2"/>
    <n v="1342"/>
    <s v="M/M 30/1 PENTEADO MARINHO"/>
    <x v="1"/>
    <x v="2"/>
    <x v="3"/>
    <x v="20"/>
    <x v="18"/>
    <x v="20"/>
  </r>
  <r>
    <x v="22"/>
    <x v="76"/>
    <x v="1"/>
    <x v="3"/>
    <d v="2026-04-26T13:44:00"/>
    <d v="2026-04-26T19:45:00"/>
    <x v="3"/>
    <n v="22650"/>
    <s v="RIBANA 2X1 24/1 OE MARINHO"/>
    <x v="1"/>
    <x v="2"/>
    <x v="3"/>
    <x v="20"/>
    <x v="18"/>
    <x v="20"/>
  </r>
  <r>
    <x v="22"/>
    <x v="77"/>
    <x v="1"/>
    <x v="3"/>
    <d v="2026-04-26T13:44:00"/>
    <d v="2026-04-26T19:45:00"/>
    <x v="3"/>
    <n v="22650"/>
    <s v="RIBANA 2X1 24/1 OE MARINHO"/>
    <x v="1"/>
    <x v="2"/>
    <x v="3"/>
    <x v="20"/>
    <x v="18"/>
    <x v="20"/>
  </r>
  <r>
    <x v="23"/>
    <x v="78"/>
    <x v="1"/>
    <x v="9"/>
    <d v="2026-04-26T14:09:00"/>
    <d v="2026-04-26T20:10:00"/>
    <x v="4"/>
    <n v="10029"/>
    <s v="RIBANA 30/1 OE VERDE MILITAR"/>
    <x v="1"/>
    <x v="2"/>
    <x v="3"/>
    <x v="20"/>
    <x v="18"/>
    <x v="20"/>
  </r>
  <r>
    <x v="23"/>
    <x v="79"/>
    <x v="1"/>
    <x v="9"/>
    <d v="2026-04-26T14:09:00"/>
    <d v="2026-04-26T20:10:00"/>
    <x v="7"/>
    <n v="3617"/>
    <s v="M/M 30/1 CARDADA OE VERDE MILITAR"/>
    <x v="1"/>
    <x v="2"/>
    <x v="3"/>
    <x v="20"/>
    <x v="18"/>
    <x v="20"/>
  </r>
  <r>
    <x v="0"/>
    <x v="80"/>
    <x v="1"/>
    <x v="7"/>
    <d v="2026-04-26T14:11:00"/>
    <d v="2026-04-26T15:37:00"/>
    <x v="1"/>
    <n v="1825"/>
    <s v="POLIÉSTER FIADO BRANCO"/>
    <x v="1"/>
    <x v="2"/>
    <x v="3"/>
    <x v="20"/>
    <x v="18"/>
    <x v="20"/>
  </r>
  <r>
    <x v="0"/>
    <x v="81"/>
    <x v="1"/>
    <x v="1"/>
    <d v="2026-04-26T14:32:00"/>
    <d v="2026-04-26T17:27:00"/>
    <x v="0"/>
    <n v="459"/>
    <s v="M/M 24/1 18 TRAMAS AZUL BEBÊ"/>
    <x v="1"/>
    <x v="2"/>
    <x v="3"/>
    <x v="20"/>
    <x v="18"/>
    <x v="20"/>
  </r>
  <r>
    <x v="24"/>
    <x v="82"/>
    <x v="1"/>
    <x v="10"/>
    <d v="2026-04-26T14:47:00"/>
    <d v="2026-04-26T18:54:00"/>
    <x v="2"/>
    <n v="1332"/>
    <s v="M/M 30/1 PENTEADO PRETO"/>
    <x v="1"/>
    <x v="2"/>
    <x v="3"/>
    <x v="20"/>
    <x v="18"/>
    <x v="20"/>
  </r>
  <r>
    <x v="24"/>
    <x v="83"/>
    <x v="1"/>
    <x v="10"/>
    <d v="2026-04-26T14:47:00"/>
    <d v="2026-04-26T18:54:00"/>
    <x v="2"/>
    <n v="1332"/>
    <s v="M/M 30/1 PENTEADO PRETO"/>
    <x v="1"/>
    <x v="2"/>
    <x v="3"/>
    <x v="20"/>
    <x v="18"/>
    <x v="20"/>
  </r>
  <r>
    <x v="0"/>
    <x v="84"/>
    <x v="1"/>
    <x v="0"/>
    <d v="2026-04-26T14:53:00"/>
    <d v="2026-04-26T16:39:00"/>
    <x v="6"/>
    <n v="12246"/>
    <s v="VISCOLYCRA VORTEX MARFIM"/>
    <x v="1"/>
    <x v="2"/>
    <x v="3"/>
    <x v="20"/>
    <x v="18"/>
    <x v="20"/>
  </r>
  <r>
    <x v="0"/>
    <x v="85"/>
    <x v="1"/>
    <x v="4"/>
    <d v="2026-04-26T15:13:00"/>
    <d v="2026-04-26T19:48:00"/>
    <x v="6"/>
    <n v="11944"/>
    <s v="VISCOLYCRA VORTEX PRETO"/>
    <x v="1"/>
    <x v="2"/>
    <x v="3"/>
    <x v="20"/>
    <x v="18"/>
    <x v="20"/>
  </r>
  <r>
    <x v="0"/>
    <x v="86"/>
    <x v="1"/>
    <x v="7"/>
    <d v="2026-04-26T15:38:00"/>
    <d v="2026-04-26T17:04:00"/>
    <x v="1"/>
    <n v="5138"/>
    <s v="POLIÉSTER FIADO BRANCO"/>
    <x v="1"/>
    <x v="2"/>
    <x v="3"/>
    <x v="20"/>
    <x v="18"/>
    <x v="20"/>
  </r>
  <r>
    <x v="0"/>
    <x v="87"/>
    <x v="1"/>
    <x v="2"/>
    <d v="2026-04-26T16:32:00"/>
    <d v="2026-04-26T19:32:00"/>
    <x v="12"/>
    <n v="1270"/>
    <s v="M/M 24/1 14 TRAMAS ROSA BEBÊ"/>
    <x v="1"/>
    <x v="2"/>
    <x v="3"/>
    <x v="20"/>
    <x v="18"/>
    <x v="20"/>
  </r>
  <r>
    <x v="0"/>
    <x v="88"/>
    <x v="1"/>
    <x v="0"/>
    <d v="2026-04-26T16:40:00"/>
    <d v="2026-04-26T20:14:00"/>
    <x v="5"/>
    <n v="221"/>
    <s v="HELANCA SUEDINE 100%CO BRANCO"/>
    <x v="1"/>
    <x v="2"/>
    <x v="3"/>
    <x v="20"/>
    <x v="18"/>
    <x v="20"/>
  </r>
  <r>
    <x v="0"/>
    <x v="89"/>
    <x v="1"/>
    <x v="7"/>
    <d v="2026-04-26T17:05:00"/>
    <d v="2026-04-26T20:23:00"/>
    <x v="5"/>
    <n v="221"/>
    <s v="HELANCA SUEDINE 100%CO BRANCO"/>
    <x v="1"/>
    <x v="2"/>
    <x v="3"/>
    <x v="20"/>
    <x v="18"/>
    <x v="20"/>
  </r>
  <r>
    <x v="0"/>
    <x v="90"/>
    <x v="1"/>
    <x v="1"/>
    <d v="2026-04-26T17:28:00"/>
    <d v="2026-04-26T21:24:00"/>
    <x v="0"/>
    <n v="1261"/>
    <s v="M/M 24/1 18 TRAMAS VERDE BEBÊ"/>
    <x v="1"/>
    <x v="2"/>
    <x v="3"/>
    <x v="20"/>
    <x v="18"/>
    <x v="20"/>
  </r>
  <r>
    <x v="25"/>
    <x v="91"/>
    <x v="1"/>
    <x v="5"/>
    <d v="2026-04-26T18:11:00"/>
    <d v="2026-04-26T23:37:00"/>
    <x v="6"/>
    <n v="12248"/>
    <s v="VISCOLYCRA VORTEX VERDE MILITAR"/>
    <x v="1"/>
    <x v="2"/>
    <x v="3"/>
    <x v="20"/>
    <x v="18"/>
    <x v="20"/>
  </r>
  <r>
    <x v="25"/>
    <x v="92"/>
    <x v="1"/>
    <x v="5"/>
    <d v="2026-04-26T18:11:00"/>
    <d v="2026-04-26T23:37:00"/>
    <x v="6"/>
    <n v="12248"/>
    <s v="VISCOLYCRA VORTEX VERDE MILITAR"/>
    <x v="1"/>
    <x v="2"/>
    <x v="3"/>
    <x v="20"/>
    <x v="18"/>
    <x v="20"/>
  </r>
  <r>
    <x v="26"/>
    <x v="93"/>
    <x v="1"/>
    <x v="10"/>
    <d v="2026-04-26T18:55:00"/>
    <d v="2026-04-26T23:40:00"/>
    <x v="6"/>
    <n v="11944"/>
    <s v="VISCOLYCRA VORTEX PRETO"/>
    <x v="1"/>
    <x v="2"/>
    <x v="3"/>
    <x v="20"/>
    <x v="18"/>
    <x v="20"/>
  </r>
  <r>
    <x v="26"/>
    <x v="94"/>
    <x v="1"/>
    <x v="10"/>
    <d v="2026-04-26T18:55:00"/>
    <d v="2026-04-26T23:40:00"/>
    <x v="6"/>
    <n v="11944"/>
    <s v="VISCOLYCRA VORTEX PRETO"/>
    <x v="1"/>
    <x v="2"/>
    <x v="3"/>
    <x v="20"/>
    <x v="18"/>
    <x v="20"/>
  </r>
  <r>
    <x v="0"/>
    <x v="95"/>
    <x v="1"/>
    <x v="8"/>
    <d v="2026-04-26T19:10:00"/>
    <d v="2026-04-26T23:45:00"/>
    <x v="6"/>
    <n v="11944"/>
    <s v="VISCOLYCRA VORTEX PRETO"/>
    <x v="0"/>
    <x v="3"/>
    <x v="3"/>
    <x v="20"/>
    <x v="18"/>
    <x v="20"/>
  </r>
  <r>
    <x v="0"/>
    <x v="96"/>
    <x v="1"/>
    <x v="2"/>
    <d v="2026-04-26T19:33:00"/>
    <d v="2026-04-26T23:42:00"/>
    <x v="0"/>
    <n v="2647"/>
    <s v="M/M 24/1 18 TRAMAS CAQUI"/>
    <x v="1"/>
    <x v="2"/>
    <x v="3"/>
    <x v="20"/>
    <x v="18"/>
    <x v="20"/>
  </r>
  <r>
    <x v="0"/>
    <x v="97"/>
    <x v="1"/>
    <x v="4"/>
    <d v="2026-04-26T19:49:00"/>
    <d v="2026-04-27T00:24:00"/>
    <x v="6"/>
    <n v="11944"/>
    <s v="VISCOLYCRA VORTEX PRETO"/>
    <x v="1"/>
    <x v="2"/>
    <x v="3"/>
    <x v="20"/>
    <x v="18"/>
    <x v="20"/>
  </r>
  <r>
    <x v="0"/>
    <x v="98"/>
    <x v="1"/>
    <x v="9"/>
    <d v="2026-04-26T20:11:00"/>
    <d v="2026-04-27T02:30:00"/>
    <x v="13"/>
    <n v="14565"/>
    <s v="MOLETOM PA TUBULAR ROYAL"/>
    <x v="1"/>
    <x v="2"/>
    <x v="3"/>
    <x v="20"/>
    <x v="18"/>
    <x v="20"/>
  </r>
  <r>
    <x v="0"/>
    <x v="99"/>
    <x v="1"/>
    <x v="0"/>
    <d v="2026-04-26T20:15:00"/>
    <d v="2026-04-26T23:49:00"/>
    <x v="0"/>
    <n v="1651"/>
    <s v="M/M 24/1 18 TRAMAS BRANCO"/>
    <x v="1"/>
    <x v="2"/>
    <x v="3"/>
    <x v="20"/>
    <x v="18"/>
    <x v="20"/>
  </r>
  <r>
    <x v="0"/>
    <x v="100"/>
    <x v="1"/>
    <x v="7"/>
    <d v="2026-04-26T20:24:00"/>
    <d v="2026-04-26T22:33:00"/>
    <x v="2"/>
    <n v="258"/>
    <s v="M/M 30/1 PENTEADO MARFIM"/>
    <x v="1"/>
    <x v="2"/>
    <x v="3"/>
    <x v="20"/>
    <x v="18"/>
    <x v="20"/>
  </r>
  <r>
    <x v="27"/>
    <x v="101"/>
    <x v="1"/>
    <x v="1"/>
    <d v="2026-04-26T21:25:00"/>
    <d v="2026-04-27T01:34:00"/>
    <x v="3"/>
    <n v="22638"/>
    <s v="RIBANA 2X1 24/1 OE CAQUI"/>
    <x v="1"/>
    <x v="2"/>
    <x v="3"/>
    <x v="20"/>
    <x v="18"/>
    <x v="20"/>
  </r>
  <r>
    <x v="27"/>
    <x v="102"/>
    <x v="1"/>
    <x v="1"/>
    <d v="2026-04-26T21:25:00"/>
    <d v="2026-04-27T01:34:00"/>
    <x v="2"/>
    <n v="308"/>
    <s v="M/M 30/1 PENTEADO CAQUI"/>
    <x v="1"/>
    <x v="2"/>
    <x v="3"/>
    <x v="20"/>
    <x v="18"/>
    <x v="20"/>
  </r>
  <r>
    <x v="28"/>
    <x v="103"/>
    <x v="1"/>
    <x v="6"/>
    <d v="2026-04-26T21:58:00"/>
    <d v="2026-04-27T03:59:00"/>
    <x v="2"/>
    <n v="1342"/>
    <s v="M/M 30/1 PENTEADO MARINHO"/>
    <x v="1"/>
    <x v="2"/>
    <x v="3"/>
    <x v="20"/>
    <x v="18"/>
    <x v="20"/>
  </r>
  <r>
    <x v="28"/>
    <x v="104"/>
    <x v="1"/>
    <x v="6"/>
    <d v="2026-04-26T21:58:00"/>
    <d v="2026-04-27T03:59:00"/>
    <x v="3"/>
    <n v="22650"/>
    <s v="RIBANA 2X1 24/1 OE MARINHO"/>
    <x v="1"/>
    <x v="2"/>
    <x v="3"/>
    <x v="20"/>
    <x v="18"/>
    <x v="20"/>
  </r>
  <r>
    <x v="29"/>
    <x v="105"/>
    <x v="1"/>
    <x v="5"/>
    <d v="2026-04-26T23:38:00"/>
    <d v="2026-04-27T06:25:00"/>
    <x v="0"/>
    <n v="1429"/>
    <s v="M/M 24/1 18 TRAMAS VERMELHO"/>
    <x v="1"/>
    <x v="2"/>
    <x v="3"/>
    <x v="20"/>
    <x v="18"/>
    <x v="20"/>
  </r>
  <r>
    <x v="29"/>
    <x v="106"/>
    <x v="1"/>
    <x v="5"/>
    <d v="2026-04-26T23:38:00"/>
    <d v="2026-04-27T06:25:00"/>
    <x v="0"/>
    <n v="1429"/>
    <s v="M/M 24/1 18 TRAMAS VERMELHO"/>
    <x v="1"/>
    <x v="2"/>
    <x v="3"/>
    <x v="20"/>
    <x v="18"/>
    <x v="20"/>
  </r>
  <r>
    <x v="30"/>
    <x v="107"/>
    <x v="1"/>
    <x v="10"/>
    <d v="2026-04-26T23:41:00"/>
    <d v="2026-04-27T04:26:00"/>
    <x v="6"/>
    <n v="11944"/>
    <s v="VISCOLYCRA VORTEX PRETO"/>
    <x v="1"/>
    <x v="2"/>
    <x v="3"/>
    <x v="20"/>
    <x v="18"/>
    <x v="20"/>
  </r>
  <r>
    <x v="30"/>
    <x v="108"/>
    <x v="1"/>
    <x v="10"/>
    <d v="2026-04-26T23:41:00"/>
    <d v="2026-04-27T04:26:00"/>
    <x v="6"/>
    <n v="11944"/>
    <s v="VISCOLYCRA VORTEX PRETO"/>
    <x v="1"/>
    <x v="2"/>
    <x v="3"/>
    <x v="20"/>
    <x v="18"/>
    <x v="20"/>
  </r>
  <r>
    <x v="31"/>
    <x v="109"/>
    <x v="1"/>
    <x v="2"/>
    <d v="2026-04-26T23:43:00"/>
    <d v="2026-04-27T03:52:00"/>
    <x v="4"/>
    <n v="12553"/>
    <s v="RIBANA 30/1 OE CAQUI"/>
    <x v="1"/>
    <x v="2"/>
    <x v="3"/>
    <x v="20"/>
    <x v="18"/>
    <x v="20"/>
  </r>
  <r>
    <x v="31"/>
    <x v="110"/>
    <x v="1"/>
    <x v="2"/>
    <d v="2026-04-26T23:43:00"/>
    <d v="2026-04-27T03:52:00"/>
    <x v="2"/>
    <n v="308"/>
    <s v="M/M 30/1 PENTEADO CAQUI"/>
    <x v="1"/>
    <x v="2"/>
    <x v="3"/>
    <x v="20"/>
    <x v="18"/>
    <x v="20"/>
  </r>
  <r>
    <x v="32"/>
    <x v="111"/>
    <x v="1"/>
    <x v="8"/>
    <d v="2026-04-26T23:46:00"/>
    <d v="2026-04-27T03:43:00"/>
    <x v="0"/>
    <n v="1328"/>
    <s v="M/M 24/1 18 TRAMAS PRETO"/>
    <x v="1"/>
    <x v="2"/>
    <x v="3"/>
    <x v="20"/>
    <x v="18"/>
    <x v="20"/>
  </r>
  <r>
    <x v="32"/>
    <x v="112"/>
    <x v="1"/>
    <x v="8"/>
    <d v="2026-04-26T23:46:00"/>
    <d v="2026-04-27T03:43:00"/>
    <x v="4"/>
    <n v="9785"/>
    <s v="RIBANA 30/1 OE PRETO"/>
    <x v="1"/>
    <x v="2"/>
    <x v="3"/>
    <x v="20"/>
    <x v="18"/>
    <x v="20"/>
  </r>
  <r>
    <x v="32"/>
    <x v="113"/>
    <x v="1"/>
    <x v="8"/>
    <d v="2026-04-26T23:46:00"/>
    <d v="2026-04-27T03:43:00"/>
    <x v="3"/>
    <n v="22649"/>
    <s v="RIBANA 2X1 24/1 OE PRETO"/>
    <x v="1"/>
    <x v="2"/>
    <x v="3"/>
    <x v="20"/>
    <x v="18"/>
    <x v="20"/>
  </r>
  <r>
    <x v="32"/>
    <x v="114"/>
    <x v="1"/>
    <x v="8"/>
    <d v="2026-04-26T23:46:00"/>
    <d v="2026-04-27T03:43:00"/>
    <x v="5"/>
    <n v="1841"/>
    <s v="HELANCA SUEDINE 100%CO PRETO"/>
    <x v="1"/>
    <x v="2"/>
    <x v="3"/>
    <x v="20"/>
    <x v="18"/>
    <x v="20"/>
  </r>
  <r>
    <x v="32"/>
    <x v="115"/>
    <x v="1"/>
    <x v="8"/>
    <d v="2026-04-26T23:46:00"/>
    <d v="2026-04-27T03:43:00"/>
    <x v="4"/>
    <n v="9785"/>
    <s v="RIBANA 30/1 OE PRETO"/>
    <x v="1"/>
    <x v="2"/>
    <x v="3"/>
    <x v="20"/>
    <x v="18"/>
    <x v="20"/>
  </r>
  <r>
    <x v="32"/>
    <x v="116"/>
    <x v="1"/>
    <x v="8"/>
    <d v="2026-04-26T23:46:00"/>
    <d v="2026-04-27T03:43:00"/>
    <x v="4"/>
    <n v="9785"/>
    <s v="RIBANA 30/1 OE PRETO"/>
    <x v="1"/>
    <x v="2"/>
    <x v="3"/>
    <x v="20"/>
    <x v="18"/>
    <x v="20"/>
  </r>
  <r>
    <x v="0"/>
    <x v="117"/>
    <x v="1"/>
    <x v="4"/>
    <d v="2026-04-27T00:25:00"/>
    <d v="2026-04-27T05:00:00"/>
    <x v="6"/>
    <n v="11944"/>
    <s v="VISCOLYCRA VORTEX PRETO"/>
    <x v="1"/>
    <x v="2"/>
    <x v="3"/>
    <x v="20"/>
    <x v="18"/>
    <x v="20"/>
  </r>
  <r>
    <x v="0"/>
    <x v="118"/>
    <x v="1"/>
    <x v="9"/>
    <d v="2026-04-27T02:31:00"/>
    <d v="2026-04-27T07:06:00"/>
    <x v="6"/>
    <n v="11944"/>
    <s v="VISCOLYCRA VORTEX PRETO"/>
    <x v="1"/>
    <x v="2"/>
    <x v="3"/>
    <x v="20"/>
    <x v="18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127" firstHeaderRow="1" firstDataRow="1" firstDataCol="1" rowPageCount="1" colPageCount="1"/>
  <pivotFields count="15">
    <pivotField axis="axisRow" showAll="0" defaultSubtotal="0">
      <items count="33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</items>
    </pivotField>
    <pivotField axis="axisRow" showAll="0" sortType="ascending" defaultSubtotal="0">
      <items count="119">
        <item x="7"/>
        <item x="5"/>
        <item x="0"/>
        <item x="1"/>
        <item x="2"/>
        <item x="3"/>
        <item x="4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9"/>
        <item x="1"/>
        <item x="8"/>
        <item x="2"/>
        <item x="6"/>
        <item x="7"/>
        <item x="3"/>
        <item x="4"/>
        <item x="5"/>
        <item x="0"/>
        <item x="10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124">
    <i>
      <x/>
    </i>
    <i r="1">
      <x/>
    </i>
    <i r="2">
      <x v="58"/>
    </i>
    <i r="2">
      <x v="98"/>
    </i>
    <i r="2">
      <x v="118"/>
    </i>
    <i r="1">
      <x v="23"/>
    </i>
    <i r="2">
      <x v="78"/>
    </i>
    <i r="2">
      <x v="79"/>
    </i>
    <i>
      <x v="1"/>
    </i>
    <i r="1">
      <x/>
    </i>
    <i r="2">
      <x v="59"/>
    </i>
    <i r="2">
      <x v="64"/>
    </i>
    <i r="2">
      <x v="81"/>
    </i>
    <i r="2">
      <x v="90"/>
    </i>
    <i r="1">
      <x v="27"/>
    </i>
    <i r="2">
      <x v="101"/>
    </i>
    <i r="2">
      <x v="102"/>
    </i>
    <i>
      <x v="2"/>
    </i>
    <i r="1">
      <x/>
    </i>
    <i r="2">
      <x v="95"/>
    </i>
    <i r="1">
      <x v="21"/>
    </i>
    <i r="2">
      <x v="71"/>
    </i>
    <i r="2">
      <x v="73"/>
    </i>
    <i r="1">
      <x v="32"/>
    </i>
    <i r="2">
      <x v="113"/>
    </i>
    <i r="2">
      <x v="114"/>
    </i>
    <i r="2">
      <x v="112"/>
    </i>
    <i r="2">
      <x v="115"/>
    </i>
    <i r="2">
      <x v="111"/>
    </i>
    <i r="2">
      <x v="116"/>
    </i>
    <i>
      <x v="3"/>
    </i>
    <i r="1">
      <x/>
    </i>
    <i r="2">
      <x v="37"/>
    </i>
    <i r="2">
      <x v="74"/>
    </i>
    <i r="2">
      <x v="87"/>
    </i>
    <i r="2">
      <x v="96"/>
    </i>
    <i r="1">
      <x v="16"/>
    </i>
    <i r="2">
      <x v="56"/>
    </i>
    <i r="2">
      <x v="57"/>
    </i>
    <i r="1">
      <x v="18"/>
    </i>
    <i r="2">
      <x v="65"/>
    </i>
    <i r="2">
      <x v="66"/>
    </i>
    <i r="1">
      <x v="31"/>
    </i>
    <i r="2">
      <x v="109"/>
    </i>
    <i r="2">
      <x v="110"/>
    </i>
    <i>
      <x v="4"/>
    </i>
    <i r="1">
      <x/>
    </i>
    <i r="2">
      <x v="50"/>
    </i>
    <i r="2">
      <x v="72"/>
    </i>
    <i r="1">
      <x v="28"/>
    </i>
    <i r="2">
      <x v="103"/>
    </i>
    <i r="2">
      <x v="104"/>
    </i>
    <i>
      <x v="5"/>
    </i>
    <i r="1">
      <x/>
    </i>
    <i r="2">
      <x v="29"/>
    </i>
    <i r="2">
      <x v="36"/>
    </i>
    <i r="2">
      <x v="47"/>
    </i>
    <i r="2">
      <x v="55"/>
    </i>
    <i r="2">
      <x v="63"/>
    </i>
    <i r="2">
      <x v="80"/>
    </i>
    <i r="2">
      <x v="86"/>
    </i>
    <i r="2">
      <x v="89"/>
    </i>
    <i r="2">
      <x v="100"/>
    </i>
    <i>
      <x v="6"/>
    </i>
    <i r="1">
      <x v="15"/>
    </i>
    <i r="2">
      <x v="53"/>
    </i>
    <i r="2">
      <x v="54"/>
    </i>
    <i r="1">
      <x v="22"/>
    </i>
    <i r="2">
      <x v="76"/>
    </i>
    <i r="2">
      <x v="75"/>
    </i>
    <i r="2">
      <x v="77"/>
    </i>
    <i>
      <x v="7"/>
    </i>
    <i r="1">
      <x/>
    </i>
    <i r="2">
      <x v="48"/>
    </i>
    <i r="2">
      <x v="62"/>
    </i>
    <i r="2">
      <x v="85"/>
    </i>
    <i r="2">
      <x v="97"/>
    </i>
    <i r="2">
      <x v="117"/>
    </i>
    <i r="1">
      <x v="11"/>
    </i>
    <i r="2">
      <x v="33"/>
    </i>
    <i r="2">
      <x v="34"/>
    </i>
    <i>
      <x v="8"/>
    </i>
    <i r="1">
      <x v="14"/>
    </i>
    <i r="2">
      <x v="51"/>
    </i>
    <i r="2">
      <x v="52"/>
    </i>
    <i r="1">
      <x v="20"/>
    </i>
    <i r="2">
      <x v="69"/>
    </i>
    <i r="2">
      <x v="70"/>
    </i>
    <i r="1">
      <x v="25"/>
    </i>
    <i r="2">
      <x v="91"/>
    </i>
    <i r="2">
      <x v="92"/>
    </i>
    <i r="1">
      <x v="29"/>
    </i>
    <i r="2">
      <x v="105"/>
    </i>
    <i r="2">
      <x v="106"/>
    </i>
    <i>
      <x v="9"/>
    </i>
    <i r="1">
      <x/>
    </i>
    <i r="2">
      <x v="84"/>
    </i>
    <i r="2">
      <x v="88"/>
    </i>
    <i r="2">
      <x v="99"/>
    </i>
    <i r="1">
      <x v="13"/>
    </i>
    <i r="2">
      <x v="43"/>
    </i>
    <i r="2">
      <x v="40"/>
    </i>
    <i r="2">
      <x v="44"/>
    </i>
    <i r="2">
      <x v="42"/>
    </i>
    <i r="2">
      <x v="45"/>
    </i>
    <i r="2">
      <x v="41"/>
    </i>
    <i r="2">
      <x v="46"/>
    </i>
    <i r="1">
      <x v="19"/>
    </i>
    <i r="2">
      <x v="67"/>
    </i>
    <i r="2">
      <x v="68"/>
    </i>
    <i>
      <x v="10"/>
    </i>
    <i r="1">
      <x v="17"/>
    </i>
    <i r="2">
      <x v="60"/>
    </i>
    <i r="2">
      <x v="61"/>
    </i>
    <i r="1">
      <x v="24"/>
    </i>
    <i r="2">
      <x v="82"/>
    </i>
    <i r="2">
      <x v="83"/>
    </i>
    <i r="1">
      <x v="26"/>
    </i>
    <i r="2">
      <x v="93"/>
    </i>
    <i r="2">
      <x v="94"/>
    </i>
    <i r="1">
      <x v="30"/>
    </i>
    <i r="2">
      <x v="107"/>
    </i>
    <i r="2">
      <x v="108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acacio.klann@costaricamalhas.ind.br" TargetMode="External"/><Relationship Id="rId1" Type="http://schemas.openxmlformats.org/officeDocument/2006/relationships/hyperlink" Target="mailto:gabriel.dias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11"/>
  <sheetViews>
    <sheetView workbookViewId="0">
      <selection activeCell="B10" sqref="B10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s="7" t="s">
        <v>18</v>
      </c>
      <c r="B2" s="6"/>
    </row>
    <row r="11" spans="1:2" x14ac:dyDescent="0.25">
      <c r="A11" s="8" t="s">
        <v>17</v>
      </c>
    </row>
  </sheetData>
  <hyperlinks>
    <hyperlink ref="A2" r:id="rId1" xr:uid="{811EBA54-8D13-425A-801A-7A1CD827A3DA}"/>
    <hyperlink ref="A11" r:id="rId2" xr:uid="{46C40C0C-744B-45E7-9BD6-070611AFA211}"/>
  </hyperlinks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127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174279</v>
      </c>
      <c r="B6" s="5">
        <v>46138.345833333333</v>
      </c>
    </row>
    <row r="7" spans="1:2" x14ac:dyDescent="0.25">
      <c r="A7" s="4">
        <v>174457</v>
      </c>
      <c r="B7" s="5">
        <v>46138.84097222222</v>
      </c>
    </row>
    <row r="8" spans="1:2" x14ac:dyDescent="0.25">
      <c r="A8" s="4">
        <v>174461</v>
      </c>
      <c r="B8" s="5">
        <v>46139.104861111111</v>
      </c>
    </row>
    <row r="9" spans="1:2" x14ac:dyDescent="0.25">
      <c r="A9" s="3">
        <v>185945</v>
      </c>
      <c r="B9" s="5"/>
    </row>
    <row r="10" spans="1:2" x14ac:dyDescent="0.25">
      <c r="A10" s="4">
        <v>174097</v>
      </c>
      <c r="B10" s="5">
        <v>46138.589583333334</v>
      </c>
    </row>
    <row r="11" spans="1:2" x14ac:dyDescent="0.25">
      <c r="A11" s="4">
        <v>174092</v>
      </c>
      <c r="B11" s="5">
        <v>46138.589583333334</v>
      </c>
    </row>
    <row r="12" spans="1:2" x14ac:dyDescent="0.25">
      <c r="A12" s="2" t="s">
        <v>19</v>
      </c>
      <c r="B12" s="5"/>
    </row>
    <row r="13" spans="1:2" x14ac:dyDescent="0.25">
      <c r="A13" s="3">
        <v>0</v>
      </c>
      <c r="B13" s="5"/>
    </row>
    <row r="14" spans="1:2" x14ac:dyDescent="0.25">
      <c r="A14" s="4">
        <v>174169</v>
      </c>
      <c r="B14" s="5">
        <v>46138.356944444444</v>
      </c>
    </row>
    <row r="15" spans="1:2" x14ac:dyDescent="0.25">
      <c r="A15" s="4">
        <v>174265</v>
      </c>
      <c r="B15" s="5">
        <v>46138.48333333333</v>
      </c>
    </row>
    <row r="16" spans="1:2" x14ac:dyDescent="0.25">
      <c r="A16" s="4">
        <v>174266</v>
      </c>
      <c r="B16" s="5">
        <v>46138.605555555558</v>
      </c>
    </row>
    <row r="17" spans="1:2" x14ac:dyDescent="0.25">
      <c r="A17" s="4">
        <v>174267</v>
      </c>
      <c r="B17" s="5">
        <v>46138.727777777778</v>
      </c>
    </row>
    <row r="18" spans="1:2" x14ac:dyDescent="0.25">
      <c r="A18" s="3">
        <v>185969</v>
      </c>
      <c r="B18" s="5"/>
    </row>
    <row r="19" spans="1:2" x14ac:dyDescent="0.25">
      <c r="A19" s="4">
        <v>174298</v>
      </c>
      <c r="B19" s="5">
        <v>46138.892361111109</v>
      </c>
    </row>
    <row r="20" spans="1:2" x14ac:dyDescent="0.25">
      <c r="A20" s="4">
        <v>174285</v>
      </c>
      <c r="B20" s="5">
        <v>46138.892361111109</v>
      </c>
    </row>
    <row r="21" spans="1:2" x14ac:dyDescent="0.25">
      <c r="A21" s="2" t="s">
        <v>9</v>
      </c>
      <c r="B21" s="5"/>
    </row>
    <row r="22" spans="1:2" x14ac:dyDescent="0.25">
      <c r="A22" s="3">
        <v>0</v>
      </c>
      <c r="B22" s="5"/>
    </row>
    <row r="23" spans="1:2" x14ac:dyDescent="0.25">
      <c r="A23" s="4">
        <v>174182</v>
      </c>
      <c r="B23" s="5">
        <v>46138.798611111109</v>
      </c>
    </row>
    <row r="24" spans="1:2" x14ac:dyDescent="0.25">
      <c r="A24" s="3">
        <v>185940</v>
      </c>
      <c r="B24" s="5"/>
    </row>
    <row r="25" spans="1:2" x14ac:dyDescent="0.25">
      <c r="A25" s="4">
        <v>174101</v>
      </c>
      <c r="B25" s="5">
        <v>46138.547222222223</v>
      </c>
    </row>
    <row r="26" spans="1:2" x14ac:dyDescent="0.25">
      <c r="A26" s="4">
        <v>174094</v>
      </c>
      <c r="B26" s="5">
        <v>46138.547222222223</v>
      </c>
    </row>
    <row r="27" spans="1:2" x14ac:dyDescent="0.25">
      <c r="A27" s="3">
        <v>186077</v>
      </c>
      <c r="B27" s="5"/>
    </row>
    <row r="28" spans="1:2" x14ac:dyDescent="0.25">
      <c r="A28" s="4">
        <v>174517</v>
      </c>
      <c r="B28" s="5">
        <v>46138.990277777775</v>
      </c>
    </row>
    <row r="29" spans="1:2" x14ac:dyDescent="0.25">
      <c r="A29" s="4">
        <v>174497</v>
      </c>
      <c r="B29" s="5">
        <v>46138.990277777775</v>
      </c>
    </row>
    <row r="30" spans="1:2" x14ac:dyDescent="0.25">
      <c r="A30" s="4">
        <v>174513</v>
      </c>
      <c r="B30" s="5">
        <v>46138.990277777775</v>
      </c>
    </row>
    <row r="31" spans="1:2" x14ac:dyDescent="0.25">
      <c r="A31" s="4">
        <v>174501</v>
      </c>
      <c r="B31" s="5">
        <v>46138.990277777775</v>
      </c>
    </row>
    <row r="32" spans="1:2" x14ac:dyDescent="0.25">
      <c r="A32" s="4">
        <v>174915</v>
      </c>
      <c r="B32" s="5">
        <v>46138.990277777775</v>
      </c>
    </row>
    <row r="33" spans="1:2" x14ac:dyDescent="0.25">
      <c r="A33" s="4">
        <v>174500</v>
      </c>
      <c r="B33" s="5">
        <v>46138.990277777775</v>
      </c>
    </row>
    <row r="34" spans="1:2" x14ac:dyDescent="0.25">
      <c r="A34" s="2" t="s">
        <v>10</v>
      </c>
      <c r="B34" s="5"/>
    </row>
    <row r="35" spans="1:2" x14ac:dyDescent="0.25">
      <c r="A35" s="3">
        <v>0</v>
      </c>
      <c r="B35" s="5"/>
    </row>
    <row r="36" spans="1:2" x14ac:dyDescent="0.25">
      <c r="A36" s="4">
        <v>174274</v>
      </c>
      <c r="B36" s="5">
        <v>46138.175694444442</v>
      </c>
    </row>
    <row r="37" spans="1:2" x14ac:dyDescent="0.25">
      <c r="A37" s="4">
        <v>174138</v>
      </c>
      <c r="B37" s="5">
        <v>46138.563194444447</v>
      </c>
    </row>
    <row r="38" spans="1:2" x14ac:dyDescent="0.25">
      <c r="A38" s="4">
        <v>174130</v>
      </c>
      <c r="B38" s="5">
        <v>46138.688888888886</v>
      </c>
    </row>
    <row r="39" spans="1:2" x14ac:dyDescent="0.25">
      <c r="A39" s="4">
        <v>174136</v>
      </c>
      <c r="B39" s="5">
        <v>46138.814583333333</v>
      </c>
    </row>
    <row r="40" spans="1:2" x14ac:dyDescent="0.25">
      <c r="A40" s="3">
        <v>185976</v>
      </c>
      <c r="B40" s="5"/>
    </row>
    <row r="41" spans="1:2" x14ac:dyDescent="0.25">
      <c r="A41" s="4">
        <v>174291</v>
      </c>
      <c r="B41" s="5">
        <v>46138.340277777781</v>
      </c>
    </row>
    <row r="42" spans="1:2" x14ac:dyDescent="0.25">
      <c r="A42" s="4">
        <v>174304</v>
      </c>
      <c r="B42" s="5">
        <v>46138.340277777781</v>
      </c>
    </row>
    <row r="43" spans="1:2" x14ac:dyDescent="0.25">
      <c r="A43" s="3">
        <v>186015</v>
      </c>
      <c r="B43" s="5"/>
    </row>
    <row r="44" spans="1:2" x14ac:dyDescent="0.25">
      <c r="A44" s="4">
        <v>174459</v>
      </c>
      <c r="B44" s="5">
        <v>46138.504861111112</v>
      </c>
    </row>
    <row r="45" spans="1:2" x14ac:dyDescent="0.25">
      <c r="A45" s="4">
        <v>174477</v>
      </c>
      <c r="B45" s="5">
        <v>46138.504861111112</v>
      </c>
    </row>
    <row r="46" spans="1:2" x14ac:dyDescent="0.25">
      <c r="A46" s="3">
        <v>185958</v>
      </c>
      <c r="B46" s="5"/>
    </row>
    <row r="47" spans="1:2" x14ac:dyDescent="0.25">
      <c r="A47" s="4">
        <v>174164</v>
      </c>
      <c r="B47" s="5">
        <v>46138.988194444442</v>
      </c>
    </row>
    <row r="48" spans="1:2" x14ac:dyDescent="0.25">
      <c r="A48" s="4">
        <v>174157</v>
      </c>
      <c r="B48" s="5">
        <v>46138.988194444442</v>
      </c>
    </row>
    <row r="49" spans="1:2" x14ac:dyDescent="0.25">
      <c r="A49" s="2" t="s">
        <v>6</v>
      </c>
      <c r="B49" s="5"/>
    </row>
    <row r="50" spans="1:2" x14ac:dyDescent="0.25">
      <c r="A50" s="3">
        <v>0</v>
      </c>
      <c r="B50" s="5"/>
    </row>
    <row r="51" spans="1:2" x14ac:dyDescent="0.25">
      <c r="A51" s="4">
        <v>174162</v>
      </c>
      <c r="B51" s="5">
        <v>46138.29583333333</v>
      </c>
    </row>
    <row r="52" spans="1:2" x14ac:dyDescent="0.25">
      <c r="A52" s="4">
        <v>174147</v>
      </c>
      <c r="B52" s="5">
        <v>46138.547222222223</v>
      </c>
    </row>
    <row r="53" spans="1:2" x14ac:dyDescent="0.25">
      <c r="A53" s="3">
        <v>185953</v>
      </c>
      <c r="B53" s="5"/>
    </row>
    <row r="54" spans="1:2" x14ac:dyDescent="0.25">
      <c r="A54" s="4">
        <v>174117</v>
      </c>
      <c r="B54" s="5">
        <v>46138.915277777778</v>
      </c>
    </row>
    <row r="55" spans="1:2" x14ac:dyDescent="0.25">
      <c r="A55" s="4">
        <v>174126</v>
      </c>
      <c r="B55" s="5">
        <v>46138.915277777778</v>
      </c>
    </row>
    <row r="56" spans="1:2" x14ac:dyDescent="0.25">
      <c r="A56" s="2" t="s">
        <v>11</v>
      </c>
      <c r="B56" s="5"/>
    </row>
    <row r="57" spans="1:2" x14ac:dyDescent="0.25">
      <c r="A57" s="3">
        <v>0</v>
      </c>
      <c r="B57" s="5"/>
    </row>
    <row r="58" spans="1:2" x14ac:dyDescent="0.25">
      <c r="A58" s="4">
        <v>174260</v>
      </c>
      <c r="B58" s="5">
        <v>46138.068749999999</v>
      </c>
    </row>
    <row r="59" spans="1:2" x14ac:dyDescent="0.25">
      <c r="A59" s="4">
        <v>174261</v>
      </c>
      <c r="B59" s="5">
        <v>46138.15902777778</v>
      </c>
    </row>
    <row r="60" spans="1:2" x14ac:dyDescent="0.25">
      <c r="A60" s="4">
        <v>174262</v>
      </c>
      <c r="B60" s="5">
        <v>46138.249305555553</v>
      </c>
    </row>
    <row r="61" spans="1:2" x14ac:dyDescent="0.25">
      <c r="A61" s="4">
        <v>174263</v>
      </c>
      <c r="B61" s="5">
        <v>46138.339583333334</v>
      </c>
    </row>
    <row r="62" spans="1:2" x14ac:dyDescent="0.25">
      <c r="A62" s="4">
        <v>174264</v>
      </c>
      <c r="B62" s="5">
        <v>46138.465277777781</v>
      </c>
    </row>
    <row r="63" spans="1:2" x14ac:dyDescent="0.25">
      <c r="A63" s="4">
        <v>174280</v>
      </c>
      <c r="B63" s="5">
        <v>46138.59097222222</v>
      </c>
    </row>
    <row r="64" spans="1:2" x14ac:dyDescent="0.25">
      <c r="A64" s="4">
        <v>173253</v>
      </c>
      <c r="B64" s="5">
        <v>46138.651388888888</v>
      </c>
    </row>
    <row r="65" spans="1:2" x14ac:dyDescent="0.25">
      <c r="A65" s="4">
        <v>174150</v>
      </c>
      <c r="B65" s="5">
        <v>46138.711805555555</v>
      </c>
    </row>
    <row r="66" spans="1:2" x14ac:dyDescent="0.25">
      <c r="A66" s="4">
        <v>174115</v>
      </c>
      <c r="B66" s="5">
        <v>46138.85</v>
      </c>
    </row>
    <row r="67" spans="1:2" x14ac:dyDescent="0.25">
      <c r="A67" s="2" t="s">
        <v>12</v>
      </c>
      <c r="B67" s="5"/>
    </row>
    <row r="68" spans="1:2" x14ac:dyDescent="0.25">
      <c r="A68" s="3">
        <v>185943</v>
      </c>
      <c r="B68" s="5"/>
    </row>
    <row r="69" spans="1:2" x14ac:dyDescent="0.25">
      <c r="A69" s="4">
        <v>174098</v>
      </c>
      <c r="B69" s="5">
        <v>46138.320833333331</v>
      </c>
    </row>
    <row r="70" spans="1:2" x14ac:dyDescent="0.25">
      <c r="A70" s="4">
        <v>174093</v>
      </c>
      <c r="B70" s="5">
        <v>46138.320833333331</v>
      </c>
    </row>
    <row r="71" spans="1:2" x14ac:dyDescent="0.25">
      <c r="A71" s="3">
        <v>185973</v>
      </c>
      <c r="B71" s="5"/>
    </row>
    <row r="72" spans="1:2" x14ac:dyDescent="0.25">
      <c r="A72" s="4">
        <v>174311</v>
      </c>
      <c r="B72" s="5">
        <v>46138.572222222225</v>
      </c>
    </row>
    <row r="73" spans="1:2" x14ac:dyDescent="0.25">
      <c r="A73" s="4">
        <v>174290</v>
      </c>
      <c r="B73" s="5">
        <v>46138.572222222225</v>
      </c>
    </row>
    <row r="74" spans="1:2" x14ac:dyDescent="0.25">
      <c r="A74" s="4">
        <v>174312</v>
      </c>
      <c r="B74" s="5">
        <v>46138.572222222225</v>
      </c>
    </row>
    <row r="75" spans="1:2" x14ac:dyDescent="0.25">
      <c r="A75" s="2" t="s">
        <v>14</v>
      </c>
      <c r="B75" s="5"/>
    </row>
    <row r="76" spans="1:2" x14ac:dyDescent="0.25">
      <c r="A76" s="3">
        <v>0</v>
      </c>
      <c r="B76" s="5"/>
    </row>
    <row r="77" spans="1:2" x14ac:dyDescent="0.25">
      <c r="A77" s="4">
        <v>174154</v>
      </c>
      <c r="B77" s="5">
        <v>46138.288888888892</v>
      </c>
    </row>
    <row r="78" spans="1:2" x14ac:dyDescent="0.25">
      <c r="A78" s="4">
        <v>173260</v>
      </c>
      <c r="B78" s="5">
        <v>46138.442361111112</v>
      </c>
    </row>
    <row r="79" spans="1:2" x14ac:dyDescent="0.25">
      <c r="A79" s="4">
        <v>173261</v>
      </c>
      <c r="B79" s="5">
        <v>46138.634027777778</v>
      </c>
    </row>
    <row r="80" spans="1:2" x14ac:dyDescent="0.25">
      <c r="A80" s="4">
        <v>173262</v>
      </c>
      <c r="B80" s="5">
        <v>46138.825694444444</v>
      </c>
    </row>
    <row r="81" spans="1:2" x14ac:dyDescent="0.25">
      <c r="A81" s="4">
        <v>173263</v>
      </c>
      <c r="B81" s="5">
        <v>46139.017361111109</v>
      </c>
    </row>
    <row r="82" spans="1:2" x14ac:dyDescent="0.25">
      <c r="A82" s="3">
        <v>185952</v>
      </c>
      <c r="B82" s="5"/>
    </row>
    <row r="83" spans="1:2" x14ac:dyDescent="0.25">
      <c r="A83" s="4">
        <v>174116</v>
      </c>
      <c r="B83" s="5">
        <v>46138.123611111114</v>
      </c>
    </row>
    <row r="84" spans="1:2" x14ac:dyDescent="0.25">
      <c r="A84" s="4">
        <v>174122</v>
      </c>
      <c r="B84" s="5">
        <v>46138.123611111114</v>
      </c>
    </row>
    <row r="85" spans="1:2" x14ac:dyDescent="0.25">
      <c r="A85" s="2" t="s">
        <v>7</v>
      </c>
      <c r="B85" s="5"/>
    </row>
    <row r="86" spans="1:2" x14ac:dyDescent="0.25">
      <c r="A86" s="3">
        <v>186019</v>
      </c>
      <c r="B86" s="5"/>
    </row>
    <row r="87" spans="1:2" x14ac:dyDescent="0.25">
      <c r="A87" s="4">
        <v>174196</v>
      </c>
      <c r="B87" s="5">
        <v>46138.303472222222</v>
      </c>
    </row>
    <row r="88" spans="1:2" x14ac:dyDescent="0.25">
      <c r="A88" s="4">
        <v>174195</v>
      </c>
      <c r="B88" s="5">
        <v>46138.303472222222</v>
      </c>
    </row>
    <row r="89" spans="1:2" x14ac:dyDescent="0.25">
      <c r="A89" s="3">
        <v>186020</v>
      </c>
      <c r="B89" s="5"/>
    </row>
    <row r="90" spans="1:2" x14ac:dyDescent="0.25">
      <c r="A90" s="4">
        <v>174193</v>
      </c>
      <c r="B90" s="5">
        <v>46138.530555555553</v>
      </c>
    </row>
    <row r="91" spans="1:2" x14ac:dyDescent="0.25">
      <c r="A91" s="4">
        <v>174192</v>
      </c>
      <c r="B91" s="5">
        <v>46138.530555555553</v>
      </c>
    </row>
    <row r="92" spans="1:2" x14ac:dyDescent="0.25">
      <c r="A92" s="3">
        <v>186021</v>
      </c>
      <c r="B92" s="5"/>
    </row>
    <row r="93" spans="1:2" x14ac:dyDescent="0.25">
      <c r="A93" s="4">
        <v>174187</v>
      </c>
      <c r="B93" s="5">
        <v>46138.757638888892</v>
      </c>
    </row>
    <row r="94" spans="1:2" x14ac:dyDescent="0.25">
      <c r="A94" s="4">
        <v>174188</v>
      </c>
      <c r="B94" s="5">
        <v>46138.757638888892</v>
      </c>
    </row>
    <row r="95" spans="1:2" x14ac:dyDescent="0.25">
      <c r="A95" s="3">
        <v>186016</v>
      </c>
      <c r="B95" s="5"/>
    </row>
    <row r="96" spans="1:2" x14ac:dyDescent="0.25">
      <c r="A96" s="4">
        <v>174275</v>
      </c>
      <c r="B96" s="5">
        <v>46138.984722222223</v>
      </c>
    </row>
    <row r="97" spans="1:2" x14ac:dyDescent="0.25">
      <c r="A97" s="4">
        <v>174276</v>
      </c>
      <c r="B97" s="5">
        <v>46138.984722222223</v>
      </c>
    </row>
    <row r="98" spans="1:2" x14ac:dyDescent="0.25">
      <c r="A98" s="2" t="s">
        <v>8</v>
      </c>
      <c r="B98" s="5"/>
    </row>
    <row r="99" spans="1:2" x14ac:dyDescent="0.25">
      <c r="A99" s="3">
        <v>0</v>
      </c>
      <c r="B99" s="5"/>
    </row>
    <row r="100" spans="1:2" x14ac:dyDescent="0.25">
      <c r="A100" s="4">
        <v>174174</v>
      </c>
      <c r="B100" s="5">
        <v>46138.620138888888</v>
      </c>
    </row>
    <row r="101" spans="1:2" x14ac:dyDescent="0.25">
      <c r="A101" s="4">
        <v>174168</v>
      </c>
      <c r="B101" s="5">
        <v>46138.694444444445</v>
      </c>
    </row>
    <row r="102" spans="1:2" x14ac:dyDescent="0.25">
      <c r="A102" s="4">
        <v>174259</v>
      </c>
      <c r="B102" s="5">
        <v>46138.84375</v>
      </c>
    </row>
    <row r="103" spans="1:2" x14ac:dyDescent="0.25">
      <c r="A103" s="3">
        <v>185873</v>
      </c>
      <c r="B103" s="5"/>
    </row>
    <row r="104" spans="1:2" x14ac:dyDescent="0.25">
      <c r="A104" s="4">
        <v>173685</v>
      </c>
      <c r="B104" s="5">
        <v>46138.227083333331</v>
      </c>
    </row>
    <row r="105" spans="1:2" x14ac:dyDescent="0.25">
      <c r="A105" s="4">
        <v>175031</v>
      </c>
      <c r="B105" s="5">
        <v>46138.227083333331</v>
      </c>
    </row>
    <row r="106" spans="1:2" x14ac:dyDescent="0.25">
      <c r="A106" s="4">
        <v>174432</v>
      </c>
      <c r="B106" s="5">
        <v>46138.227083333331</v>
      </c>
    </row>
    <row r="107" spans="1:2" x14ac:dyDescent="0.25">
      <c r="A107" s="4">
        <v>172951</v>
      </c>
      <c r="B107" s="5">
        <v>46138.227083333331</v>
      </c>
    </row>
    <row r="108" spans="1:2" x14ac:dyDescent="0.25">
      <c r="A108" s="4">
        <v>174214</v>
      </c>
      <c r="B108" s="5">
        <v>46138.227083333331</v>
      </c>
    </row>
    <row r="109" spans="1:2" x14ac:dyDescent="0.25">
      <c r="A109" s="4">
        <v>174908</v>
      </c>
      <c r="B109" s="5">
        <v>46138.227083333331</v>
      </c>
    </row>
    <row r="110" spans="1:2" x14ac:dyDescent="0.25">
      <c r="A110" s="4">
        <v>174345</v>
      </c>
      <c r="B110" s="5">
        <v>46138.227083333331</v>
      </c>
    </row>
    <row r="111" spans="1:2" x14ac:dyDescent="0.25">
      <c r="A111" s="3">
        <v>185966</v>
      </c>
      <c r="B111" s="5"/>
    </row>
    <row r="112" spans="1:2" x14ac:dyDescent="0.25">
      <c r="A112" s="4">
        <v>174297</v>
      </c>
      <c r="B112" s="5">
        <v>46138.520138888889</v>
      </c>
    </row>
    <row r="113" spans="1:2" x14ac:dyDescent="0.25">
      <c r="A113" s="4">
        <v>174284</v>
      </c>
      <c r="B113" s="5">
        <v>46138.520138888889</v>
      </c>
    </row>
    <row r="114" spans="1:2" x14ac:dyDescent="0.25">
      <c r="A114" s="2" t="s">
        <v>13</v>
      </c>
      <c r="B114" s="5"/>
    </row>
    <row r="115" spans="1:2" x14ac:dyDescent="0.25">
      <c r="A115" s="3">
        <v>186023</v>
      </c>
      <c r="B115" s="5"/>
    </row>
    <row r="116" spans="1:2" x14ac:dyDescent="0.25">
      <c r="A116" s="4">
        <v>174180</v>
      </c>
      <c r="B116" s="5">
        <v>46138.417361111111</v>
      </c>
    </row>
    <row r="117" spans="1:2" x14ac:dyDescent="0.25">
      <c r="A117" s="4">
        <v>174181</v>
      </c>
      <c r="B117" s="5">
        <v>46138.417361111111</v>
      </c>
    </row>
    <row r="118" spans="1:2" x14ac:dyDescent="0.25">
      <c r="A118" s="3">
        <v>186026</v>
      </c>
      <c r="B118" s="5"/>
    </row>
    <row r="119" spans="1:2" x14ac:dyDescent="0.25">
      <c r="A119" s="4">
        <v>174172</v>
      </c>
      <c r="B119" s="5">
        <v>46138.615972222222</v>
      </c>
    </row>
    <row r="120" spans="1:2" x14ac:dyDescent="0.25">
      <c r="A120" s="4">
        <v>174171</v>
      </c>
      <c r="B120" s="5">
        <v>46138.615972222222</v>
      </c>
    </row>
    <row r="121" spans="1:2" x14ac:dyDescent="0.25">
      <c r="A121" s="3">
        <v>186028</v>
      </c>
      <c r="B121" s="5"/>
    </row>
    <row r="122" spans="1:2" x14ac:dyDescent="0.25">
      <c r="A122" s="4">
        <v>174013</v>
      </c>
      <c r="B122" s="5">
        <v>46138.788194444445</v>
      </c>
    </row>
    <row r="123" spans="1:2" x14ac:dyDescent="0.25">
      <c r="A123" s="4">
        <v>174014</v>
      </c>
      <c r="B123" s="5">
        <v>46138.788194444445</v>
      </c>
    </row>
    <row r="124" spans="1:2" x14ac:dyDescent="0.25">
      <c r="A124" s="3">
        <v>186027</v>
      </c>
      <c r="B124" s="5"/>
    </row>
    <row r="125" spans="1:2" x14ac:dyDescent="0.25">
      <c r="A125" s="4">
        <v>174015</v>
      </c>
      <c r="B125" s="5">
        <v>46138.986805555556</v>
      </c>
    </row>
    <row r="126" spans="1:2" x14ac:dyDescent="0.25">
      <c r="A126" s="4">
        <v>174016</v>
      </c>
      <c r="B126" s="5">
        <v>46138.986805555556</v>
      </c>
    </row>
    <row r="127" spans="1:2" x14ac:dyDescent="0.25">
      <c r="A127" s="2" t="s">
        <v>1</v>
      </c>
      <c r="B127" s="5">
        <v>46138.068749999999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2026-04-25T22:41:34Z</dcterms:modified>
</cp:coreProperties>
</file>